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LU\PhenoPren\Dashboard aPTs\"/>
    </mc:Choice>
  </mc:AlternateContent>
  <xr:revisionPtr revIDLastSave="0" documentId="8_{3ABF13D4-040D-4DFF-8D5C-9A6EBAF0E1A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elle1" sheetId="1" r:id="rId1"/>
  </sheets>
  <definedNames>
    <definedName name="_xlnm._FilterDatabase" localSheetId="0" hidden="1">Tabelle1!$A$1:$V$186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6" i="1" l="1"/>
  <c r="A185" i="1"/>
  <c r="A18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Arumitha Suresh</author>
  </authors>
  <commentList>
    <comment ref="B9" authorId="0" shapeId="0" xr:uid="{DAB26202-B6EB-45DE-8F34-EA817E1BF451}">
      <text>
        <r>
          <rPr>
            <b/>
            <sz val="9"/>
            <color indexed="81"/>
            <rFont val="Segoe UI"/>
            <family val="2"/>
          </rPr>
          <t>Arumitha Suresh:</t>
        </r>
        <r>
          <rPr>
            <sz val="9"/>
            <color indexed="81"/>
            <rFont val="Segoe UI"/>
            <family val="2"/>
          </rPr>
          <t xml:space="preserve">
It is the first aPT to accept GPP as substrate in plants</t>
        </r>
      </text>
    </comment>
    <comment ref="B15" authorId="0" shapeId="0" xr:uid="{C74B8885-A1BB-4D7C-9075-D05281B7944F}">
      <text>
        <r>
          <rPr>
            <b/>
            <sz val="9"/>
            <color indexed="81"/>
            <rFont val="Segoe UI"/>
            <family val="2"/>
          </rPr>
          <t>Arumitha Suresh:</t>
        </r>
        <r>
          <rPr>
            <sz val="9"/>
            <color indexed="81"/>
            <rFont val="Segoe UI"/>
            <family val="2"/>
          </rPr>
          <t xml:space="preserve">
The first prenylation step for the formation of hyperforin</t>
        </r>
      </text>
    </comment>
    <comment ref="B35" authorId="0" shapeId="0" xr:uid="{69912008-85EB-49F9-AFDF-18CBDD67AACF}">
      <text>
        <r>
          <rPr>
            <b/>
            <sz val="9"/>
            <color indexed="81"/>
            <rFont val="Segoe UI"/>
            <family val="2"/>
          </rPr>
          <t>Arumitha Suresh:</t>
        </r>
        <r>
          <rPr>
            <sz val="9"/>
            <color indexed="81"/>
            <rFont val="Segoe UI"/>
            <family val="2"/>
          </rPr>
          <t xml:space="preserve">
ﬁrst prenyltransferase that performs dearomatizing prenylation of 5-MOA</t>
        </r>
      </text>
    </comment>
    <comment ref="P39" authorId="0" shapeId="0" xr:uid="{2C1D388A-4CF0-4758-BF8F-1FBB4A60D5A4}">
      <text>
        <r>
          <rPr>
            <b/>
            <sz val="9"/>
            <color indexed="81"/>
            <rFont val="Segoe UI"/>
            <family val="2"/>
          </rPr>
          <t>Arumitha Suresh:</t>
        </r>
        <r>
          <rPr>
            <sz val="9"/>
            <color indexed="81"/>
            <rFont val="Segoe UI"/>
            <family val="2"/>
          </rPr>
          <t xml:space="preserve">
PPs with OA</t>
        </r>
      </text>
    </comment>
    <comment ref="B47" authorId="0" shapeId="0" xr:uid="{5F9264E8-EBF5-433A-8FD3-4D969EAB6C47}">
      <text>
        <r>
          <rPr>
            <b/>
            <sz val="9"/>
            <color indexed="81"/>
            <rFont val="Segoe UI"/>
            <family val="2"/>
          </rPr>
          <t>Arumitha Suresh:</t>
        </r>
        <r>
          <rPr>
            <sz val="9"/>
            <color indexed="81"/>
            <rFont val="Segoe UI"/>
            <family val="2"/>
          </rPr>
          <t xml:space="preserve">
preferentially prenylates at the C-6 position of 5,7-di-hydroxyflavones.</t>
        </r>
      </text>
    </comment>
    <comment ref="B48" authorId="0" shapeId="0" xr:uid="{C34DCAA5-6205-4342-9747-A8EEE37C3E64}">
      <text>
        <r>
          <rPr>
            <b/>
            <sz val="9"/>
            <color indexed="81"/>
            <rFont val="Segoe UI"/>
            <family val="2"/>
          </rPr>
          <t>Arumitha Suresh:</t>
        </r>
        <r>
          <rPr>
            <sz val="9"/>
            <color indexed="81"/>
            <rFont val="Segoe UI"/>
            <family val="2"/>
          </rPr>
          <t xml:space="preserve">
Reverse geranylation</t>
        </r>
      </text>
    </comment>
    <comment ref="N51" authorId="0" shapeId="0" xr:uid="{141F08DB-C5B8-48DB-BFFF-2AA6C8C5F4BC}">
      <text>
        <r>
          <rPr>
            <b/>
            <sz val="9"/>
            <color indexed="81"/>
            <rFont val="Segoe UI"/>
            <family val="2"/>
          </rPr>
          <t>Arumitha Suresh:</t>
        </r>
        <r>
          <rPr>
            <sz val="9"/>
            <color indexed="81"/>
            <rFont val="Segoe UI"/>
            <family val="2"/>
          </rPr>
          <t xml:space="preserve">
pre-cursor for Plastoquinone-9</t>
        </r>
      </text>
    </comment>
    <comment ref="B52" authorId="0" shapeId="0" xr:uid="{2FE90641-1BCF-43DE-85F9-57BF2AF79A14}">
      <text>
        <r>
          <rPr>
            <b/>
            <sz val="9"/>
            <color indexed="81"/>
            <rFont val="Segoe UI"/>
            <family val="2"/>
          </rPr>
          <t>Arumitha Suresh:</t>
        </r>
        <r>
          <rPr>
            <sz val="9"/>
            <color indexed="81"/>
            <rFont val="Segoe UI"/>
            <family val="2"/>
          </rPr>
          <t xml:space="preserve">
The HlPT-1 identified in hops catalyzes the first step in prenylation of aromatic substances, adding dimethylallyl moiety to phloroglucinol derivatives and leading to the formation of humulone and lupulone derivatives.</t>
        </r>
      </text>
    </comment>
  </commentList>
</comments>
</file>

<file path=xl/sharedStrings.xml><?xml version="1.0" encoding="utf-8"?>
<sst xmlns="http://schemas.openxmlformats.org/spreadsheetml/2006/main" count="2764" uniqueCount="1134">
  <si>
    <t>S. No.</t>
  </si>
  <si>
    <t>Enzyme</t>
  </si>
  <si>
    <t>Product</t>
  </si>
  <si>
    <t>Regio specificity</t>
  </si>
  <si>
    <t>Km value</t>
  </si>
  <si>
    <t>Optimal pH</t>
  </si>
  <si>
    <t>Optimal temperature</t>
  </si>
  <si>
    <t>Author</t>
  </si>
  <si>
    <t>doi</t>
  </si>
  <si>
    <t>LePGT1</t>
  </si>
  <si>
    <t>Expression in</t>
  </si>
  <si>
    <t>Gene from organism</t>
  </si>
  <si>
    <t>Lithospermum erythrorhizon</t>
  </si>
  <si>
    <t>p-hydroxybenzoic acid</t>
  </si>
  <si>
    <t>GPP</t>
  </si>
  <si>
    <t>Yeast</t>
  </si>
  <si>
    <t>C10</t>
  </si>
  <si>
    <t>Mg2+</t>
  </si>
  <si>
    <t>Ohara et al., 2009</t>
  </si>
  <si>
    <t>https://doi.org/10.1042/BJ20081968</t>
  </si>
  <si>
    <t>DMAPP</t>
  </si>
  <si>
    <t>Sophora flavescens</t>
  </si>
  <si>
    <t>Glycinol</t>
  </si>
  <si>
    <t>Glyceollin</t>
  </si>
  <si>
    <t>Akashi et al., 2009</t>
  </si>
  <si>
    <t>SfN8DT-1</t>
  </si>
  <si>
    <t>Naringenin</t>
  </si>
  <si>
    <t>Sophoraflavone G (8-Dimethylallylnaringenin)</t>
  </si>
  <si>
    <t>C8</t>
  </si>
  <si>
    <t>10 mM Mg2+</t>
  </si>
  <si>
    <t>9 to 10</t>
  </si>
  <si>
    <t>Yamamoto et al., 2000</t>
  </si>
  <si>
    <t>https://doi.org/10.1016/S0031-9422(00)00198-9</t>
  </si>
  <si>
    <t>https://doi.org/10.1104/pp.108.123679</t>
  </si>
  <si>
    <t>Cell suspension cultures of the plant itself</t>
  </si>
  <si>
    <t>Phaseolus vulgaris</t>
  </si>
  <si>
    <t>3,9-dihydroxypterocarpan (DHP)</t>
  </si>
  <si>
    <t>DHP10DT</t>
  </si>
  <si>
    <t>Phaseollidin</t>
  </si>
  <si>
    <t>7 to 8</t>
  </si>
  <si>
    <t>Mn2+</t>
  </si>
  <si>
    <t>Biggs et al., 1987</t>
  </si>
  <si>
    <t>https://doi.org/10.1016/0014-5793(87)80909-2</t>
  </si>
  <si>
    <t>Lupinus albus</t>
  </si>
  <si>
    <t>Ammi majus</t>
  </si>
  <si>
    <t>Hamerski et al., 1990</t>
  </si>
  <si>
    <t>https://doi.org/10.1016/0031-9422(90)85417-E</t>
  </si>
  <si>
    <t>Genistein
2-hydroxygenistein</t>
  </si>
  <si>
    <t>UDT</t>
  </si>
  <si>
    <t>Umbelliferone</t>
  </si>
  <si>
    <t>Dimethylsuberosin
O-prenylumbelliferone</t>
  </si>
  <si>
    <t>C6
O7</t>
  </si>
  <si>
    <t>SfG6DT</t>
  </si>
  <si>
    <t>SfiLDT</t>
  </si>
  <si>
    <t>Isoliquiritigenin (iL)</t>
  </si>
  <si>
    <t>C6</t>
  </si>
  <si>
    <t>Dimethylallyl isoliquiritigenin</t>
  </si>
  <si>
    <t>6-dimethylallyl genistin</t>
  </si>
  <si>
    <t>SfN8DT-3</t>
  </si>
  <si>
    <t>Naringenin
Liquiritigenin</t>
  </si>
  <si>
    <t>DMAPP: 205 µM
Both the substrates: 50 µM</t>
  </si>
  <si>
    <t>DMAPP: 120 µM
Naringenin: 36 µM</t>
  </si>
  <si>
    <t>DMAPP: 1.5 µM
DHP: 2.8 µM</t>
  </si>
  <si>
    <r>
      <t>30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</si>
  <si>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8 to 10</t>
  </si>
  <si>
    <r>
      <rPr>
        <b/>
        <sz val="11"/>
        <color theme="1"/>
        <rFont val="Calibri"/>
        <family val="2"/>
        <scheme val="minor"/>
      </rPr>
      <t>Kinetics for O-prenylumbelliferone formation</t>
    </r>
    <r>
      <rPr>
        <sz val="11"/>
        <color theme="1"/>
        <rFont val="Calibri"/>
        <family val="2"/>
        <scheme val="minor"/>
      </rPr>
      <t xml:space="preserve">
DMAPP: 30 µM
Umbelliferone: 6.5 µM</t>
    </r>
  </si>
  <si>
    <r>
      <rPr>
        <b/>
        <sz val="11"/>
        <color theme="1"/>
        <rFont val="Calibri"/>
        <family val="2"/>
        <scheme val="minor"/>
      </rPr>
      <t>Kinetics for 6-dimethylallyl genistin formation</t>
    </r>
    <r>
      <rPr>
        <sz val="11"/>
        <color theme="1"/>
        <rFont val="Calibri"/>
        <family val="2"/>
        <scheme val="minor"/>
      </rPr>
      <t xml:space="preserve">
DMAPP: 99 µM
Genistin: 55 µM</t>
    </r>
  </si>
  <si>
    <t>Sasaki et al., 2011</t>
  </si>
  <si>
    <t>https://doi.org/10.1074/jbc.M111.244426</t>
  </si>
  <si>
    <t>Hypericum samposii</t>
  </si>
  <si>
    <t>Hypericum calycinum</t>
  </si>
  <si>
    <t>1,3,6,7-tetrahydroxyxanthone (1367THX)
1,3,6,7-tetrahydroxy-8-prenylxanthone (8PX)</t>
  </si>
  <si>
    <t>Mg2+
Mn2+</t>
  </si>
  <si>
    <t>7
7.5</t>
  </si>
  <si>
    <t>35 to 40°C</t>
  </si>
  <si>
    <t>Nagia et al., 2019</t>
  </si>
  <si>
    <t>https://doi.org/10.1111/nph.15611</t>
  </si>
  <si>
    <t>Hypericum perforatum</t>
  </si>
  <si>
    <t>Fe2+</t>
  </si>
  <si>
    <t>DMAPP: 0.46 mM
Phlorisobutyrophenone: 0.52 mM</t>
  </si>
  <si>
    <t>Phlorisobutyrophenone</t>
  </si>
  <si>
    <t>6.5 to 8.5</t>
  </si>
  <si>
    <t>Boubakir et al., 2004</t>
  </si>
  <si>
    <t>https://doi.org/10.1016/j.phytochem.2004.10.020</t>
  </si>
  <si>
    <t>C4</t>
  </si>
  <si>
    <t>1,3,5-trihydroxyxanthone (135THX)
1,3,7-trihydroxyxanthone (137THX)
1,3,5,6-tetrahydroxyxanthone (1356THX)
1,3,6,7-tetrahydroxyxanthone (1367THX)</t>
  </si>
  <si>
    <t>1,3,5-trihydroxy-4-prenylxanthone (135TH-4PX)
1,3,7-trihydroxy-4-prenylxanthone (137TH-4PX)
1,3,5,6-tetrahydroxy-4-prenylxanthone (1356TH-4PX)
1,3,6,7-tetrahydroxy-4-prenylxanthone (1367TH-4PX)</t>
  </si>
  <si>
    <t>40°C</t>
  </si>
  <si>
    <r>
      <t>HpPT4px
4 long variants (</t>
    </r>
    <r>
      <rPr>
        <b/>
        <sz val="11"/>
        <color theme="1"/>
        <rFont val="Calibri"/>
        <family val="2"/>
        <scheme val="minor"/>
      </rPr>
      <t>v1</t>
    </r>
    <r>
      <rPr>
        <sz val="11"/>
        <color theme="1"/>
        <rFont val="Calibri"/>
        <family val="2"/>
        <scheme val="minor"/>
      </rPr>
      <t xml:space="preserve"> - v4)
1 short variant (</t>
    </r>
    <r>
      <rPr>
        <b/>
        <sz val="11"/>
        <color theme="1"/>
        <rFont val="Calibri"/>
        <family val="2"/>
        <scheme val="minor"/>
      </rPr>
      <t>sh</t>
    </r>
    <r>
      <rPr>
        <sz val="11"/>
        <color theme="1"/>
        <rFont val="Calibri"/>
        <family val="2"/>
        <scheme val="minor"/>
      </rPr>
      <t>)</t>
    </r>
  </si>
  <si>
    <t xml:space="preserve">8 for for formation of 1367TH-4PX with v1
</t>
  </si>
  <si>
    <t>HpPT4px-v1 revealed highest affinity for 135THX as substrate and least affinity for 1367THX.
According to the kinetic parameters 1356THX is the preferred substrate for HpPT4p-v1 and HpPT4px-sh.</t>
  </si>
  <si>
    <t>Sayed et al., 2023</t>
  </si>
  <si>
    <t>https://doi.org/10.1093/plphys/kiad219</t>
  </si>
  <si>
    <t>https://doi.org/10.1016/j.molp.2024.08.003</t>
  </si>
  <si>
    <t>Wu et al., 2024</t>
  </si>
  <si>
    <t>Dimethylallyl phlorisobutyrophenone</t>
  </si>
  <si>
    <t>Hyperforin</t>
  </si>
  <si>
    <t>C3</t>
  </si>
  <si>
    <t>LaPT</t>
  </si>
  <si>
    <t>HpPT</t>
  </si>
  <si>
    <t>Arachis hypogaea</t>
  </si>
  <si>
    <t>AhR4DT-1</t>
  </si>
  <si>
    <t>Resveratrol
Piceatannol
Oxyresveratrol</t>
  </si>
  <si>
    <t>Resveratrol
Piceatannol
Pinosylvin
Oxyresveratrol</t>
  </si>
  <si>
    <t>https://doi.org/10.1074/jbc.RA117.000564</t>
  </si>
  <si>
    <t>Yang et al., 2017</t>
  </si>
  <si>
    <t>Arachidin-2
Arachidin-5
Chriricanine A
Prenylated oxyresveratrol (position unknown)</t>
  </si>
  <si>
    <t>3-methyl-2-butenyl-3-resveratol
Prenylated piceatannol (position unknown)
Prenylated oxyresveratrol (position unknown)</t>
  </si>
  <si>
    <t>DMAPP: 154 µM
Resveratrol: 99.5 µM
Pieatannol: 311 µM</t>
  </si>
  <si>
    <t>DMAPP: &gt; 640 µM
Resveratrol: 17.7 µM
Pieatannol: 50.3 µM</t>
  </si>
  <si>
    <t>30°C</t>
  </si>
  <si>
    <t>37°C</t>
  </si>
  <si>
    <t>Artemisia capillaris</t>
  </si>
  <si>
    <t>p-Coumaric acid (p-Cou)
C-3-prenyl-p-coumaric acid
Ferulic acid</t>
  </si>
  <si>
    <t>C3
C5</t>
  </si>
  <si>
    <t>AcPT1</t>
  </si>
  <si>
    <t>https://doi.org/10.1038/s42003-019-0630-0</t>
  </si>
  <si>
    <t>Munakata et al., 2019</t>
  </si>
  <si>
    <r>
      <rPr>
        <i/>
        <sz val="11"/>
        <color theme="1"/>
        <rFont val="Calibri"/>
        <family val="2"/>
        <scheme val="minor"/>
      </rPr>
      <t>A. tumifaciens</t>
    </r>
    <r>
      <rPr>
        <sz val="11"/>
        <color theme="1"/>
        <rFont val="Calibri"/>
        <family val="2"/>
        <scheme val="minor"/>
      </rPr>
      <t xml:space="preserve"> and then in </t>
    </r>
    <r>
      <rPr>
        <i/>
        <sz val="11"/>
        <color theme="1"/>
        <rFont val="Calibri"/>
        <family val="2"/>
        <scheme val="minor"/>
      </rPr>
      <t>N. benthamiana</t>
    </r>
    <r>
      <rPr>
        <sz val="11"/>
        <color theme="1"/>
        <rFont val="Calibri"/>
        <family val="2"/>
        <scheme val="minor"/>
      </rPr>
      <t xml:space="preserve">
Also in Yeast (data not shown)</t>
    </r>
  </si>
  <si>
    <r>
      <rPr>
        <i/>
        <sz val="11"/>
        <color theme="1"/>
        <rFont val="Calibri"/>
        <family val="2"/>
        <scheme val="minor"/>
      </rPr>
      <t>N. benthamiana</t>
    </r>
    <r>
      <rPr>
        <sz val="11"/>
        <color theme="1"/>
        <rFont val="Calibri"/>
        <family val="2"/>
        <scheme val="minor"/>
      </rPr>
      <t xml:space="preserve"> leaves </t>
    </r>
  </si>
  <si>
    <t>Drupanin (3-prenyl-p-coumaric acid)
Artepillin C (3,5-diprenyl-p-coumaric acid)</t>
  </si>
  <si>
    <t>Year</t>
  </si>
  <si>
    <t>Munakata et al., 2021</t>
  </si>
  <si>
    <t>https://doi.org/10.1073/pnas.2022294118</t>
  </si>
  <si>
    <t>https://doi.org/10.1104/pp.114.246892</t>
  </si>
  <si>
    <t>Citrus limon</t>
  </si>
  <si>
    <t xml:space="preserve">Umbelliferone
</t>
  </si>
  <si>
    <r>
      <t xml:space="preserve">Glycine max </t>
    </r>
    <r>
      <rPr>
        <sz val="11"/>
        <color theme="1"/>
        <rFont val="Calibri"/>
        <family val="2"/>
        <scheme val="minor"/>
      </rPr>
      <t>(Soy bean)</t>
    </r>
  </si>
  <si>
    <t>FPP</t>
  </si>
  <si>
    <t>Liu et al., 2024</t>
  </si>
  <si>
    <t>https://doi.org/10.1093/plphys/kiae171</t>
  </si>
  <si>
    <t>Rubia cordifolia</t>
  </si>
  <si>
    <t>RcDT1</t>
  </si>
  <si>
    <t>2-carboxyl-3-prenyl-1,4-naphthoquinone (CPNQ)
3-prenyl-1,4-naphthoquinone (PNQ)</t>
  </si>
  <si>
    <r>
      <t xml:space="preserve">1,4-dihydroxy-2-naphthoic acid (DHNA)
</t>
    </r>
    <r>
      <rPr>
        <b/>
        <sz val="11"/>
        <color theme="1"/>
        <rFont val="Calibri"/>
        <family val="2"/>
        <scheme val="minor"/>
      </rPr>
      <t>Other possible substrates:</t>
    </r>
    <r>
      <rPr>
        <sz val="11"/>
        <color theme="1"/>
        <rFont val="Calibri"/>
        <family val="2"/>
        <scheme val="minor"/>
      </rPr>
      <t xml:space="preserve">
1. 4-hydroxy-2-naphthoic acid
2. 1-hydroxy-2-naphthoic acid
3. 1-hydroxy-1-naphthoic acid
4. 3-hydroxy-2-naphthoic acid
5. 4-hydroxybenzoic acid
6.2,4,6-trihydroxybenzoic acid
7. 2,4-dihydroxybenzoic acid
8. 3,4-dihydroxybenzoic acid
9. 2,4-dihydroxy-6-methylbenzoic acid</t>
    </r>
  </si>
  <si>
    <t>DMAPP: 79.49 µM
DHNA: 26.86 µM
4-hydroxbenzoic acid: 54.43 µM</t>
  </si>
  <si>
    <t>30 to 50°C</t>
  </si>
  <si>
    <t>Morus alba</t>
  </si>
  <si>
    <t>Prenyl acceptor (Aromatic substrate) - Accepted</t>
  </si>
  <si>
    <t>Prenyl donor - Accepted</t>
  </si>
  <si>
    <t>Metal ion - Accepted</t>
  </si>
  <si>
    <r>
      <t xml:space="preserve">Metal ion - Medium to </t>
    </r>
    <r>
      <rPr>
        <b/>
        <sz val="11"/>
        <color rgb="FFFF0000"/>
        <rFont val="Calibri"/>
        <family val="2"/>
        <scheme val="minor"/>
      </rPr>
      <t>Not Accepted</t>
    </r>
  </si>
  <si>
    <r>
      <t xml:space="preserve">Prenyl donor - Medium to </t>
    </r>
    <r>
      <rPr>
        <b/>
        <sz val="11"/>
        <color rgb="FFFF0000"/>
        <rFont val="Calibri"/>
        <family val="2"/>
        <scheme val="minor"/>
      </rPr>
      <t>Not Accepted</t>
    </r>
  </si>
  <si>
    <t xml:space="preserve">DMAPP (100%)
</t>
  </si>
  <si>
    <t>GPP (4.5%)
FPP (trace)</t>
  </si>
  <si>
    <t>GPP (trace)</t>
  </si>
  <si>
    <t xml:space="preserve">Mg2+
</t>
  </si>
  <si>
    <t>Less activities with Mn2+, Ca2+, Co2+, Zn2+</t>
  </si>
  <si>
    <r>
      <rPr>
        <b/>
        <sz val="11"/>
        <color theme="1"/>
        <rFont val="Calibri"/>
        <family val="2"/>
        <scheme val="minor"/>
      </rPr>
      <t>Kinetics for wild type</t>
    </r>
    <r>
      <rPr>
        <sz val="11"/>
        <color theme="1"/>
        <rFont val="Calibri"/>
        <family val="2"/>
        <scheme val="minor"/>
      </rPr>
      <t xml:space="preserve">
GPP: 29.5 µM
PHB: 66.4 µM</t>
    </r>
  </si>
  <si>
    <t>Genistein and daidzein</t>
  </si>
  <si>
    <t xml:space="preserve">Mg2+ (100%)
</t>
  </si>
  <si>
    <t>Ni2+ (39%)
Mn2+ (16%)
Ca2+ (7.9%)</t>
  </si>
  <si>
    <t>Mn2+ (68%)
Co2+ (50%)</t>
  </si>
  <si>
    <t>DMAPP: 150 µM
Glycinol: 68 µM</t>
  </si>
  <si>
    <t>Sophoraflavone B (8-Dimethylallylnaringenin)</t>
  </si>
  <si>
    <t>Mn2+ (62% of Mg2+)
Ca2+ (6%)
Co2+ (5%)
Zn2+ (2%)
Cu2+ (1%)</t>
  </si>
  <si>
    <r>
      <t xml:space="preserve">IPP (yield of only 1.3% of DMAPP)
</t>
    </r>
    <r>
      <rPr>
        <sz val="11"/>
        <color rgb="FFFF0000"/>
        <rFont val="Calibri"/>
        <family val="2"/>
        <scheme val="minor"/>
      </rPr>
      <t>LPP</t>
    </r>
  </si>
  <si>
    <r>
      <t xml:space="preserve">Prenyl acceptor (Aromatic substrate) - Medium to </t>
    </r>
    <r>
      <rPr>
        <b/>
        <sz val="11"/>
        <color rgb="FFFF0000"/>
        <rFont val="Calibri"/>
        <family val="2"/>
        <scheme val="minor"/>
      </rPr>
      <t>Not Accepted</t>
    </r>
  </si>
  <si>
    <r>
      <t xml:space="preserve">Liquiritigen (5,7-dihydroxyflavone)
Hesperetin (5,7,3'-trihydroxy-4'-methoxylflavone)
Taxifolin (3,5,7,3',4'-penthydroxylflavone)
2'-hydroxynarigenin
Other flavonoids:
Kaempferol (5,7,4'-trihydroxyflavonol)
Querecetin (5,7,3',4'-tetrahydroxyflavonol)
Apigenin (5,7,4'-trihydroxyflavone)
</t>
    </r>
    <r>
      <rPr>
        <sz val="11"/>
        <color rgb="FFFF0000"/>
        <rFont val="Calibri"/>
        <family val="2"/>
        <scheme val="minor"/>
      </rPr>
      <t>Genistein
Maackianin</t>
    </r>
  </si>
  <si>
    <t>Medicarpin
Coumestrol</t>
  </si>
  <si>
    <t>Shen et al., 2012</t>
  </si>
  <si>
    <t>https://doi.org/10.1104/pp.112.195271</t>
  </si>
  <si>
    <t>Wighteone (6-prenylgenistein)
Isowighteone (3'-prenylgenistein)
Lupiwighteone (8-prenylgenistein)</t>
  </si>
  <si>
    <t>C6
C8
C3</t>
  </si>
  <si>
    <r>
      <t xml:space="preserve">Mn2+
Ni2+
Co2+
Zn2+
Ca2+
</t>
    </r>
    <r>
      <rPr>
        <sz val="11"/>
        <color rgb="FFFF0000"/>
        <rFont val="Calibri"/>
        <family val="2"/>
        <scheme val="minor"/>
      </rPr>
      <t>Cu2+
Fe2+</t>
    </r>
  </si>
  <si>
    <t>GPP
FPP
IPP</t>
  </si>
  <si>
    <t>Naringenin
Liquiritigenin
Hesperetin
Apigenin
2-hydroxychalcone
2'-hydroxychalcone
isoliquiritigenin
Daidzein
Formononetin
Biochenin-A
7-hydroxyisoflavone</t>
  </si>
  <si>
    <r>
      <rPr>
        <b/>
        <sz val="11"/>
        <color theme="1"/>
        <rFont val="Calibri"/>
        <family val="2"/>
        <scheme val="minor"/>
      </rPr>
      <t>For full-length</t>
    </r>
    <r>
      <rPr>
        <sz val="11"/>
        <color theme="1"/>
        <rFont val="Calibri"/>
        <family val="2"/>
        <scheme val="minor"/>
      </rPr>
      <t xml:space="preserve">
DMAPP: 54.75 µM
Genistein: 0.3 µM</t>
    </r>
  </si>
  <si>
    <t>ClaS H73R mutant</t>
  </si>
  <si>
    <t>ClaS wild type</t>
  </si>
  <si>
    <t>Clitocybe clavipes</t>
  </si>
  <si>
    <t>Hydroquinone (HYQ)
2-methylhydroquinone
2-flurohydrquinone
2-chlrohydroquinone
2-bromohydroquinone</t>
  </si>
  <si>
    <t>PHB (very less, but also very less with yeast carrying the empty plasmid)</t>
  </si>
  <si>
    <r>
      <t xml:space="preserve">FPP (trace, but also with yeast carrying the empty plasmid)
</t>
    </r>
    <r>
      <rPr>
        <sz val="11"/>
        <color rgb="FFFF0000"/>
        <rFont val="Calibri"/>
        <family val="2"/>
        <scheme val="minor"/>
      </rPr>
      <t>DMAPP
GGPP</t>
    </r>
  </si>
  <si>
    <t>geranyl HYQ
geranyl 2-methylhydroquinone
geranyl 2-flurohydrquinone
geranyl 2-chlorohydrquinone
geranyl 2-bromohydrquinone</t>
  </si>
  <si>
    <t>4-hydroxybenzoic acid (PHB)
2,4-dihydroxybenzoic acid
4-hydroxy-2-methylbenzoic acid
2-fluro-4-hydroxybenzoic acid
2-chloro-4-hydroxybenzoic acid
2-bromo-4-hydroxybenzoic acid</t>
  </si>
  <si>
    <t>geranyl PHB
geranyl 2,4-dihydroxybenzoic acid
geranyl 4-hydroxy-2-methylbenzoic acid
geranyl 2-fluro-4-hydroxybenzoic acid
geranyl 2-chloro-4-hydroxybenzoic acid
geranyl 2-bromo-4-hydroxybenzoic acid</t>
  </si>
  <si>
    <t>https://doi.org/10.1021/acscatal.3c04085</t>
  </si>
  <si>
    <t>7.5 to 9</t>
  </si>
  <si>
    <t>30 to 40°C</t>
  </si>
  <si>
    <t>10 mM Mg2+
10 mM Mn2+
For O-prenylation both the cations were favourable but for 6-prenylation Mg2+ showed the maximum activity</t>
  </si>
  <si>
    <t>IPP</t>
  </si>
  <si>
    <t xml:space="preserve">Genistin
</t>
  </si>
  <si>
    <r>
      <t xml:space="preserve">Biochanin A (37%)
</t>
    </r>
    <r>
      <rPr>
        <sz val="11"/>
        <color rgb="FFFF0000"/>
        <rFont val="Calibri"/>
        <family val="2"/>
        <scheme val="minor"/>
      </rPr>
      <t>Daidzein
Formononetin
Flavanones
Flavnols
Flavones</t>
    </r>
  </si>
  <si>
    <t xml:space="preserve">HsPT8px
</t>
  </si>
  <si>
    <t>Naringenin chalcone
2'-hydroxychalcone
2-hydroxychalcone
4-hydroxychalcone
2',4',6',3,4-pentahydroxychalcone
chalcone</t>
  </si>
  <si>
    <t>GPP
FPP
GGPP</t>
  </si>
  <si>
    <t>HsPTpat</t>
  </si>
  <si>
    <t xml:space="preserve">1,3,6,7-tetrahydroxyxanthone (1367THX)
</t>
  </si>
  <si>
    <t>Patulone</t>
  </si>
  <si>
    <r>
      <t>DMAPP varied slightly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1367THX = 8PX 
</t>
    </r>
  </si>
  <si>
    <t>DMAPP varied slightly
1367THX and 8PX differed by factor of 3</t>
  </si>
  <si>
    <t>Nagia et al., 2020</t>
  </si>
  <si>
    <t>https://doi.org/10.1111/nph.15612</t>
  </si>
  <si>
    <t xml:space="preserve">HcPT8px
</t>
  </si>
  <si>
    <t>HcPTpat</t>
  </si>
  <si>
    <t>8PX (mostly)
Patulone (as minor product)</t>
  </si>
  <si>
    <t xml:space="preserve">8PX
</t>
  </si>
  <si>
    <r>
      <t xml:space="preserve">Yeast was inactive. Therefore results were based on expression in </t>
    </r>
    <r>
      <rPr>
        <i/>
        <sz val="11"/>
        <color theme="1"/>
        <rFont val="Calibri"/>
        <family val="2"/>
        <scheme val="minor"/>
      </rPr>
      <t>N. benthamiana</t>
    </r>
    <r>
      <rPr>
        <sz val="11"/>
        <color theme="1"/>
        <rFont val="Calibri"/>
        <family val="2"/>
        <scheme val="minor"/>
      </rPr>
      <t xml:space="preserve"> leaves</t>
    </r>
  </si>
  <si>
    <t>HsCPTa</t>
  </si>
  <si>
    <t>HsCPTb</t>
  </si>
  <si>
    <t>Ernst et al., 2024</t>
  </si>
  <si>
    <t>https://doi.org/10.1038/s41467-024-48879-w</t>
  </si>
  <si>
    <t xml:space="preserve">Grandone
</t>
  </si>
  <si>
    <t>7-epi-nemorosone
nemosampsone</t>
  </si>
  <si>
    <t>7-epi-clusianone</t>
  </si>
  <si>
    <t>DMAPP: 66.44 µM
grandone: 62.01 µM
kolanone: 114.24 µM</t>
  </si>
  <si>
    <t>DMAPP: 297 µM
grandone: 40.36 µM</t>
  </si>
  <si>
    <t>HsCPTa1</t>
  </si>
  <si>
    <t>Kolanone</t>
  </si>
  <si>
    <t>Han et al., 2024</t>
  </si>
  <si>
    <t>https://doi.org/10.1093/pcp/pcae134</t>
  </si>
  <si>
    <t>PsPT1 (U6DT)</t>
  </si>
  <si>
    <t>PsPT2 (U8DT)</t>
  </si>
  <si>
    <t>Demethylsuberosin</t>
  </si>
  <si>
    <t>Osthenol</t>
  </si>
  <si>
    <r>
      <rPr>
        <i/>
        <sz val="11"/>
        <color theme="1"/>
        <rFont val="Calibri"/>
        <family val="2"/>
        <scheme val="minor"/>
      </rPr>
      <t>N. benthamiana</t>
    </r>
    <r>
      <rPr>
        <sz val="11"/>
        <color theme="1"/>
        <rFont val="Calibri"/>
        <family val="2"/>
        <scheme val="minor"/>
      </rPr>
      <t xml:space="preserve"> leaves</t>
    </r>
  </si>
  <si>
    <t>Pastinaca sativa</t>
  </si>
  <si>
    <t>DMAPP: 7.6 µM
Umbelliferone: 10 µM</t>
  </si>
  <si>
    <t>DMAPP: 5 µM
Umbelliferone: 2.7 µM</t>
  </si>
  <si>
    <t>5-methylorsellinic acid (5-MOA)</t>
  </si>
  <si>
    <t>FncB</t>
  </si>
  <si>
    <t>5-methylorsellinic acid (5-MOA)-derived meroterpenoids</t>
  </si>
  <si>
    <r>
      <t xml:space="preserve">Heterologous expression in </t>
    </r>
    <r>
      <rPr>
        <i/>
        <sz val="11"/>
        <color theme="1"/>
        <rFont val="Calibri"/>
        <family val="2"/>
        <scheme val="minor"/>
      </rPr>
      <t>Aspergillus oryzae</t>
    </r>
    <r>
      <rPr>
        <sz val="11"/>
        <color theme="1"/>
        <rFont val="Calibri"/>
        <family val="2"/>
        <scheme val="minor"/>
      </rPr>
      <t xml:space="preserve"> NSARU1</t>
    </r>
  </si>
  <si>
    <t>Aspergillus funiculosus</t>
  </si>
  <si>
    <t>C5</t>
  </si>
  <si>
    <t>Yan et al., 2021</t>
  </si>
  <si>
    <t>https://doi.org/10.1021/acs.orglett.1c00951</t>
  </si>
  <si>
    <t>AscA</t>
  </si>
  <si>
    <t>Orsellinic acid</t>
  </si>
  <si>
    <t>StbC</t>
  </si>
  <si>
    <r>
      <t>Stachybotrys bisbyi</t>
    </r>
    <r>
      <rPr>
        <sz val="11"/>
        <color theme="1"/>
        <rFont val="Calibri"/>
        <family val="2"/>
        <scheme val="minor"/>
      </rPr>
      <t xml:space="preserve"> PYH05-7</t>
    </r>
  </si>
  <si>
    <t>Acremonium egyptiacum</t>
  </si>
  <si>
    <t>Araki et al., 2019</t>
  </si>
  <si>
    <t>https://doi.org/10.1073/pnas.1819254116</t>
  </si>
  <si>
    <t>CTC4</t>
  </si>
  <si>
    <t>Colletotrichum higginsianum</t>
  </si>
  <si>
    <t>Colletorin D acid</t>
  </si>
  <si>
    <t>Geistodt-Kiener et al., 2023</t>
  </si>
  <si>
    <t>https://doi.org/10.1016/j.ymben.2023.10.002</t>
  </si>
  <si>
    <t>https://doi.org/10.1104/pp.18.00655</t>
  </si>
  <si>
    <t>Saeki et al., 2018</t>
  </si>
  <si>
    <t>RdPT1</t>
  </si>
  <si>
    <t>Rhododendron dauricum</t>
  </si>
  <si>
    <r>
      <t>Heterologous expression in Yeast (</t>
    </r>
    <r>
      <rPr>
        <i/>
        <sz val="11"/>
        <color theme="1"/>
        <rFont val="Calibri"/>
        <family val="2"/>
        <scheme val="minor"/>
      </rPr>
      <t>P. pastoris</t>
    </r>
    <r>
      <rPr>
        <sz val="11"/>
        <color theme="1"/>
        <rFont val="Calibri"/>
        <family val="2"/>
        <scheme val="minor"/>
      </rPr>
      <t>)</t>
    </r>
  </si>
  <si>
    <t>2.5 mM Mg2+</t>
  </si>
  <si>
    <t>Mn2+, Ca2+</t>
  </si>
  <si>
    <t>Ornicol
Olivetonic acid
Phloroacetophenone
Umbelliferone
Phenylpro-panoid-related polyphenols
Homogentisate</t>
  </si>
  <si>
    <t>Grifolic acid (3-farnesyl OA)
3-gernyl OA
3-geranylgeranyl OA</t>
  </si>
  <si>
    <r>
      <t xml:space="preserve">GPP
GGPP
</t>
    </r>
    <r>
      <rPr>
        <sz val="11"/>
        <color rgb="FFFF0000"/>
        <rFont val="Calibri"/>
        <family val="2"/>
        <scheme val="minor"/>
      </rPr>
      <t>DMAPP</t>
    </r>
  </si>
  <si>
    <t>FPP: 10 µM
GPP: 224 µM
GGPP: 4.16 µM
OA: 47 µM</t>
  </si>
  <si>
    <t>http://dx.doi.org/10.1002/cbic.201600087</t>
  </si>
  <si>
    <t>Li et al., 2016</t>
  </si>
  <si>
    <t>Ilicicolinic acid B (Grifolic acid)</t>
  </si>
  <si>
    <t>Yang et al., 2023</t>
  </si>
  <si>
    <t>Arnebia euchroma</t>
  </si>
  <si>
    <t>Wang et al., 2023</t>
  </si>
  <si>
    <t>https://doi.org/10.1016/j.plaphy.2023.02.012</t>
  </si>
  <si>
    <t>3-geranyl-4-hydroxybenzoate</t>
  </si>
  <si>
    <t>DMAPP
FPP
GGPP</t>
  </si>
  <si>
    <r>
      <t>45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</si>
  <si>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LePGT2</t>
  </si>
  <si>
    <t>GPP: 45.9 µM
PHB: 53.8 µM</t>
  </si>
  <si>
    <t>Yazaki et al., 2001</t>
  </si>
  <si>
    <t>https://doi.org/10.1074/jbc.M106387200</t>
  </si>
  <si>
    <t>Ficus carica</t>
  </si>
  <si>
    <t>Umberlliferone
5-methoxy-7-hydroxycoumarin (5M7H)</t>
  </si>
  <si>
    <t>Phenylpropanes
Flavonoids
Homogentisic acid</t>
  </si>
  <si>
    <t>GPP
GGPP
FPP</t>
  </si>
  <si>
    <t>6-dimethylallylated umbelliferone
6-dimethylallylated 5M7H</t>
  </si>
  <si>
    <t xml:space="preserve">https://doi.org/10.1111/nph.16277 </t>
  </si>
  <si>
    <t xml:space="preserve">DMAPP: 35 µM
Umbelliferone: 17 µM
</t>
  </si>
  <si>
    <t>https://doi.org/10.1093/pcp/pcj025</t>
  </si>
  <si>
    <t>Ohara et al., 2006</t>
  </si>
  <si>
    <t>Oryza sativa</t>
  </si>
  <si>
    <t>Caffeic acid
Ferulic acid
p-coumaric acid
Cinnamic acid
Naringenin</t>
  </si>
  <si>
    <t>GGPP</t>
  </si>
  <si>
    <t>GPP
FPP</t>
  </si>
  <si>
    <t>OsPPT1a</t>
  </si>
  <si>
    <r>
      <t xml:space="preserve">Mn2+
Co2+
Fe2+
Ni2+
</t>
    </r>
    <r>
      <rPr>
        <sz val="11"/>
        <color rgb="FFFF0000"/>
        <rFont val="Calibri"/>
        <family val="2"/>
        <scheme val="minor"/>
      </rPr>
      <t>Ca2+
Cu2+
Zn2+
EDTA</t>
    </r>
  </si>
  <si>
    <t>GPP: 59.7 µM
PHB: 6.04 µM</t>
  </si>
  <si>
    <t>3-polyprenyl-PHB</t>
  </si>
  <si>
    <r>
      <t>Yeast
Transient expression in</t>
    </r>
    <r>
      <rPr>
        <i/>
        <sz val="11"/>
        <color theme="1"/>
        <rFont val="Calibri"/>
        <family val="2"/>
        <scheme val="minor"/>
      </rPr>
      <t xml:space="preserve"> N. benthaminana</t>
    </r>
    <r>
      <rPr>
        <sz val="11"/>
        <color theme="1"/>
        <rFont val="Calibri"/>
        <family val="2"/>
        <scheme val="minor"/>
      </rPr>
      <t xml:space="preserve"> leaves</t>
    </r>
  </si>
  <si>
    <t>Glycyrrhiza uralensis</t>
  </si>
  <si>
    <t>Apigenin</t>
  </si>
  <si>
    <r>
      <t xml:space="preserve">Chrysin
Diosmtin
Luteolin
Norartocarptein
Chrysoeroil
</t>
    </r>
    <r>
      <rPr>
        <sz val="11"/>
        <color rgb="FFFF0000"/>
        <rFont val="Calibri"/>
        <family val="2"/>
        <scheme val="minor"/>
      </rPr>
      <t>Kumatakenin B
7,3',4'-trihydroxyflavone
Baicalein
Hispidulin
Myricetin
Kaempferol
Quercetin
7-methoxychrysin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8-prenylchrysin</t>
    </r>
  </si>
  <si>
    <r>
      <t xml:space="preserve">GPP
</t>
    </r>
    <r>
      <rPr>
        <sz val="11"/>
        <color rgb="FFFF0000"/>
        <rFont val="Calibri"/>
        <family val="2"/>
        <scheme val="minor"/>
      </rPr>
      <t>FPP
GGPP
PPP</t>
    </r>
  </si>
  <si>
    <t>6-dimethylallylated products</t>
  </si>
  <si>
    <t>Mn2+
Zn2+
Fe2+
Co2+
Ca2+
Ba2+</t>
  </si>
  <si>
    <r>
      <rPr>
        <b/>
        <sz val="11"/>
        <color theme="1"/>
        <rFont val="Calibri"/>
        <family val="2"/>
        <scheme val="minor"/>
      </rPr>
      <t xml:space="preserve">Apigenin as substrate
</t>
    </r>
    <r>
      <rPr>
        <sz val="11"/>
        <color theme="1"/>
        <rFont val="Calibri"/>
        <family val="2"/>
        <scheme val="minor"/>
      </rPr>
      <t>DMAPP: 144.2 µM
Apigenin: 26.8 µM</t>
    </r>
  </si>
  <si>
    <t>Li et al., 2014</t>
  </si>
  <si>
    <t xml:space="preserve">https://doi.org/10.1002/cbic.201402160 </t>
  </si>
  <si>
    <t>Psoralea corylifolia</t>
  </si>
  <si>
    <t>Zheng et al., 2024</t>
  </si>
  <si>
    <t>https://doi.org/10.1021/acssynbio.4c00416</t>
  </si>
  <si>
    <t>PcPT07</t>
  </si>
  <si>
    <t>Bakuchiol</t>
  </si>
  <si>
    <t xml:space="preserve">p-Coumaric acid (p-CA)
</t>
  </si>
  <si>
    <r>
      <rPr>
        <sz val="11"/>
        <rFont val="Calibri"/>
        <family val="2"/>
        <scheme val="minor"/>
      </rPr>
      <t>2,4-didydroxycinnamic acid</t>
    </r>
    <r>
      <rPr>
        <sz val="11"/>
        <color rgb="FFFF0000"/>
        <rFont val="Calibri"/>
        <family val="2"/>
        <scheme val="minor"/>
      </rPr>
      <t xml:space="preserve">
Cinnamic acid
p-coumaric acid methyl ester
4-vinylphenol
caffeic acid</t>
    </r>
  </si>
  <si>
    <t>7.0 to 8.0</t>
  </si>
  <si>
    <t>35 to 45°C</t>
  </si>
  <si>
    <t>Homogentisic acid</t>
  </si>
  <si>
    <t>Arabidopsis thaliana</t>
  </si>
  <si>
    <t>Tocotrienols</t>
  </si>
  <si>
    <t>Agrobacterium tumifaciens</t>
  </si>
  <si>
    <t>Venkatesh et al., 2006</t>
  </si>
  <si>
    <t>https://doi.org/10.1007/s00425-005-0180-1</t>
  </si>
  <si>
    <t>Tocopherols</t>
  </si>
  <si>
    <t>AmHST1</t>
  </si>
  <si>
    <t>Aquilaria malaccensis</t>
  </si>
  <si>
    <t>Homogentisate</t>
  </si>
  <si>
    <t>2-methyl-6-solanesyl-benzoquinol (MSBQ)</t>
  </si>
  <si>
    <t>Azarina et al., 2017</t>
  </si>
  <si>
    <t>https://core.ac.uk/download/pdf/153832812.pdf</t>
  </si>
  <si>
    <t>www.plantphysiol.org/cgi/doi/10.1104/pp.015222</t>
  </si>
  <si>
    <t>Collakova et al., 2003</t>
  </si>
  <si>
    <t>Humulus lupulus</t>
  </si>
  <si>
    <t>HlPT-1</t>
  </si>
  <si>
    <t>https://doi.org/10.1016/j.bbrc.2011.11.125</t>
  </si>
  <si>
    <t>Tsurumaru et al., 2012</t>
  </si>
  <si>
    <t>Zn2+
Mn2+
EDTA</t>
  </si>
  <si>
    <t>Phlorisovalerophenone (PIVP)</t>
  </si>
  <si>
    <t>Expression in insect cells</t>
  </si>
  <si>
    <t>PIVP: 59.5 µM</t>
  </si>
  <si>
    <r>
      <t xml:space="preserve">Phlormethylbutanophenone (PMBP)
Phlorisobutyrophenone (PIBP)
Naringenin chalcone
</t>
    </r>
    <r>
      <rPr>
        <sz val="11"/>
        <color rgb="FFFF0000"/>
        <rFont val="Calibri"/>
        <family val="2"/>
        <scheme val="minor"/>
      </rPr>
      <t>6'-O-methyl chalchone
Naringenin
Prenyl PIVP
Prenyl PMBP
Prenyl PIBP
Di-prenyl PIBP
Di-prenyl PMBP
Di-prenyl PIVP</t>
    </r>
  </si>
  <si>
    <t>Prenyl PIVP
Prenyl PIBP
Prenyl PMBP
Desmethylxanthohumol</t>
  </si>
  <si>
    <t>Cannabis sativa</t>
  </si>
  <si>
    <t>Olivetolic acid</t>
  </si>
  <si>
    <t>GlyMa_02G168000</t>
  </si>
  <si>
    <t>Glycine max (Soy bean)</t>
  </si>
  <si>
    <t>Heterologous expression in Yeast</t>
  </si>
  <si>
    <t>Cannabigerolic acid (CGBA)</t>
  </si>
  <si>
    <t>https://doi.org/10.1016/j.bbrc.2024.149471</t>
  </si>
  <si>
    <t>Jordan et al., 2024</t>
  </si>
  <si>
    <t>OsHGGT</t>
  </si>
  <si>
    <t>Chaudary et al., 2009</t>
  </si>
  <si>
    <t>https://doi.org/10.1016/j.plantsci.2009.07.014</t>
  </si>
  <si>
    <t>2-methyl-6-phytylplastoquinol (MPBQ)</t>
  </si>
  <si>
    <t>2-methyl-6-geranylgeranylplastoquinol (MGGBQ)</t>
  </si>
  <si>
    <t>AhPT1</t>
  </si>
  <si>
    <t>Artocarpus heterophyllus</t>
  </si>
  <si>
    <t>Yang et al., 2020</t>
  </si>
  <si>
    <t>https://doi.org/10.1016/j.ijbiomac.2020.03.005</t>
  </si>
  <si>
    <t>AtnF</t>
  </si>
  <si>
    <r>
      <t xml:space="preserve">Arithrinium sp. </t>
    </r>
    <r>
      <rPr>
        <sz val="11"/>
        <color theme="1"/>
        <rFont val="Calibri"/>
        <family val="2"/>
        <scheme val="minor"/>
      </rPr>
      <t>NF2194</t>
    </r>
  </si>
  <si>
    <t>ntnF</t>
  </si>
  <si>
    <r>
      <t xml:space="preserve">Nectria sp. </t>
    </r>
    <r>
      <rPr>
        <sz val="11"/>
        <color theme="1"/>
        <rFont val="Calibri"/>
        <family val="2"/>
        <scheme val="minor"/>
      </rPr>
      <t>Z14-w</t>
    </r>
  </si>
  <si>
    <t>https://doi.org/10.1002/anie.201804317</t>
  </si>
  <si>
    <t>Zhang et al., 2018</t>
  </si>
  <si>
    <t>Trt2</t>
  </si>
  <si>
    <t>Aspergillus fumigatus</t>
  </si>
  <si>
    <t>Itoh et al., 2012</t>
  </si>
  <si>
    <t xml:space="preserve">https://doi.org/10.1002/cbic.201200124 </t>
  </si>
  <si>
    <t>3,5-dimethylorsellinic acid (DMOA)
3-methylorsellinic acid (MOA)</t>
  </si>
  <si>
    <t>Farnesyl-DMOA
Farnesyl-MOA</t>
  </si>
  <si>
    <t>Aspergillus oryzae</t>
  </si>
  <si>
    <t>ppt1</t>
  </si>
  <si>
    <t>Schizosaccharomyces pombe</t>
  </si>
  <si>
    <t>Coq2</t>
  </si>
  <si>
    <t>Saccharomyces cerevisiae</t>
  </si>
  <si>
    <t>GPP
Octaprenyl diphosphate
Decaprenyl diphosphate</t>
  </si>
  <si>
    <t>Yeast itself</t>
  </si>
  <si>
    <t>geranyl PHB
produces U-8
produces U-10</t>
  </si>
  <si>
    <t>Uchida et al., 2000</t>
  </si>
  <si>
    <t>https://doi.org/10.1128/jb.182.24.6933-6939.2000</t>
  </si>
  <si>
    <t>https://pdf.sciencedirectassets.com/778417/1-s2.0-S0021925819X50061/1-s2.0-S002192581950638X/main.pdf?X-Amz-Security-Token=IQoJb3JpZ2luX2VjEJz%2F%2F%2F%2F%2F%2F%2F%2F%2F%2FwEaCXVzLWVhc3QtMSJHMEUCIQCYSpfQokQdQ5nTtz4THa9xIqWtRanv9naTX%2F9RjlHC5wIgMPg9D86RrkOocBYg83S4tMkgkmDhJevg7kvsrn0ADcYqswUIRBAFGgwwNTkwMDM1NDY4NjUiDC5QfMlbf66bg%2Fo4%2FCqQBeRaXRGNnb76ux7njGptfwITP2Yio4tJVLa2UcnaKFrIvLEx5Vp5E2ndaJeiZDGK4ziN4GgQ62VdSt3wVDKSqtrSZfJaVAdrWwtQOOiX4SUfQHqa6atPoeB%2BBgI5LGYCkTO%2FyBvgcuOUB1UZMihEHQN09E1nN6VKIirg7g%2FOjcwpPT3rpBmNPloKPX%2BLwRuD0pGUQQc4%2F%2BeWKjN%2BYFK9WBpn9PXf%2FzYB1FRT3atVAOqUtxxHPV1CAdlqz0%2BM2wSiRETJzHxxmcOKGPb5g40exbf%2BJzie0Jps7c6wN%2FIix70TKFCqYxWSLt4KAI7svTbtPkraFpk8WaM3TNB9eUDdqpK8KzFYoTKkk48w8qnqIP%2B9oHaCQA9%2BrWf74fkw8XH808KPNw6uSY7bYV1qcyXe%2Fs%2FxyicaUZqFelMAiTFv86o94tmcREMFJq7KZPbPiK%2FkDyVVz%2Byl24NfzhUrRhFK4OK6IG1QknFuUXFBPaV6bE1rJTmeDpwsA%2BVGvVk2IHwsITz3SxoE6Uk6HwL4skuFkE1r2DRyiC0S9FMeWljfi%2BihRls8g9JPXPr7Y%2FwxUh11I8bevuSHiKRERFVZKg7ci9qCkFbJ4gNQzA6g3Tm8rAbHbUblxWlJ%2Bcim25pD7QCFhP5vbwwXD7tFYyB0TurQEqBufXBOnax9Q7V9FPhA%2B8hiApVrp2RAQ19bZKsemPUpZWzSBNJEVTz5Xpwf8LMVig3x7T3mcNabLfDkDAYANevAwuw1d5qJPLkgqx5ss0e5kzQwgaQUP5HUtyZ%2FhPPS3RL3q4YZIa%2FJXpniSfbRUMhr1WmN4hbBJnlN8v87h7lfIKVxV9cIK6qLo1YvogPsj65%2BXc%2Fd4N8epe6rd4C%2FH0%2F1MKfb58AGOrEB12YBvhza49E%2FP0w%2FQCsUzmZfUF%2Bo6LKwe%2FY3HcoPxxJ735BBLAN5AYgJvLh78sjWucCWO8fI3JTqzOURpuldToIpw1ZetyR%2FKsHf7thhzEP7sqaGCpyDgmz%2B57uXExyfxPSqU4Ed9el%2BXht7Lnv05nGPv1jf11mhjenKf3v6IQLRj1s9fdethfC4yEbuo23hJKklIYJa8nPNtncPUqIxNrdDq6lPJGy6wacdsmVR43hb&amp;X-Amz-Algorithm=AWS4-HMAC-SHA256&amp;X-Amz-Date=20250506T111218Z&amp;X-Amz-SignedHeaders=host&amp;X-Amz-Expires=300&amp;X-Amz-Credential=ASIAQ3PHCVTY2C5YMZYI%2F20250506%2Fus-east-1%2Fs3%2Faws4_request&amp;X-Amz-Signature=3b01f4041105f4a759a692f0f2cb3a4b49dc212726f35b0b2755422874668a11&amp;hash=875c84bf13a188c58e52bc787934bb8e32fc113376878231ffbd82b67b4d1f8d&amp;host=68042c943591013ac2b2430a89b270f6af2c76d8dfd086a07176afe7c76c2c61&amp;pii=S002192581950638X&amp;tid=spdf-625f216a-fa30-4677-ab66-0e56c09cf970&amp;sid=5fdf275420a9d348803a160348fae7250d0agxrqb&amp;type=client&amp;tsoh=d3d3LnNjaWVuY2VkaXJlY3QuY29t&amp;rh=d3d3LnNjaWVuY2VkaXJlY3QuY29t&amp;ua=02065c53045d510e0451&amp;rr=93b80ab11d61e51b&amp;cc=de</t>
  </si>
  <si>
    <t>PcPT11</t>
  </si>
  <si>
    <t>8.0 - 9.0</t>
  </si>
  <si>
    <r>
      <t xml:space="preserve">Mn2+
Sr2+
Ca2+
Co2+
Ni2+
Ba2+
Fe2+
</t>
    </r>
    <r>
      <rPr>
        <sz val="11"/>
        <color rgb="FFFF0000"/>
        <rFont val="Calibri"/>
        <family val="2"/>
        <scheme val="minor"/>
      </rPr>
      <t>Cu2+
Zn2+
Sn2+</t>
    </r>
  </si>
  <si>
    <t>DMAPP: 13.02 µM
Apigenin: 3.775 µM
Kaempferol: 4.871 mM
Biochanin A: 41.27 µM
Isoliquiritigenin: 25.57
Liquiritigenin: 18.49 µM
Naringenin: 34.82 µM</t>
  </si>
  <si>
    <t>6-prenylapigenin
6-prenylkaempferol
Psoralidin
Bavachin
Wightenone
6-prenylnaringenin
Gancaonin A
Corylifolinin</t>
  </si>
  <si>
    <t>C6 mostly</t>
  </si>
  <si>
    <t>https://doi.org/10.1016/j.indcrop.2023.116746</t>
  </si>
  <si>
    <t>Grandone (acylphloroglucinol)</t>
  </si>
  <si>
    <t>Origin</t>
  </si>
  <si>
    <t>P</t>
  </si>
  <si>
    <t>F</t>
  </si>
  <si>
    <t>GmG4DT</t>
  </si>
  <si>
    <t xml:space="preserve">AhR3pDT 1 - 4
</t>
  </si>
  <si>
    <t>GuA6DT</t>
  </si>
  <si>
    <t>AtVTE2-2</t>
  </si>
  <si>
    <t>AtVTE2-1</t>
  </si>
  <si>
    <t>OsHPT (or OsVTE2-2)</t>
  </si>
  <si>
    <t>TaVTE2-1</t>
  </si>
  <si>
    <t>Triticum aestivum</t>
  </si>
  <si>
    <t>PDP</t>
  </si>
  <si>
    <t>Zeng et al., 2023</t>
  </si>
  <si>
    <t>https://doi.org/10.1186/s12870-023-04535-x</t>
  </si>
  <si>
    <t>SfN8DT-2</t>
  </si>
  <si>
    <t>Liquiritigenin
Naringenin</t>
  </si>
  <si>
    <r>
      <t xml:space="preserve">Hesperetin
</t>
    </r>
    <r>
      <rPr>
        <sz val="11"/>
        <color rgb="FFFF0000"/>
        <rFont val="Calibri"/>
        <family val="2"/>
        <scheme val="minor"/>
      </rPr>
      <t>Sakuranertin
Flavanone
Taxifolin
Kaempferol
Quercetin
Apigenin
Flavone
2-hydroxychalcone
2'-hydroxychalcone
Isoliquiritigenin
Genistein
Maackiain
Leachianone G
Homogentisic acid</t>
    </r>
  </si>
  <si>
    <t>GPP
FPP
GGPP
PDP</t>
  </si>
  <si>
    <t>DMAPP: 106 µM
Naringenin: 55 µM</t>
  </si>
  <si>
    <t>Sasaki et al., 2008</t>
  </si>
  <si>
    <t>https://doi.org/10.1104/pp.107.110544</t>
  </si>
  <si>
    <t>SfFPT</t>
  </si>
  <si>
    <t>https://doi.org/10.1002/adsc.201300196</t>
  </si>
  <si>
    <t>Chen et al., 2013</t>
  </si>
  <si>
    <t>Heterologous expresion in yeast</t>
  </si>
  <si>
    <t xml:space="preserve">Pinocembrin
Naringenin
Chrysin
Taxifolin
</t>
  </si>
  <si>
    <t>Ba2+
Ca2+
Fe2+
Co2+
Cu2+
Zn2+
Mn2+</t>
  </si>
  <si>
    <r>
      <t>40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</si>
  <si>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DMAPP: 0.105 µM
Naringenin: 0.236 µM
Pinocembrin: 0.586 µM
Liquiritigenin: 0.092 µM
Steppogenin: 0.013 µM
Eridictyol: 0.092 µM
Hesperetin: 0.228 µM
Isosakuranetin: 0.207 µM
Tsugafolin: 0.032 µM
Taxifolin: 0.114 µM
Phloretin: 0.045 µM
Chrysin: 0.020 µM</t>
  </si>
  <si>
    <r>
      <t xml:space="preserve">GPP (can geranylate pinocembrin, isosakuranetin, naringenin)
</t>
    </r>
    <r>
      <rPr>
        <sz val="11"/>
        <color rgb="FFFF0000"/>
        <rFont val="Calibri"/>
        <family val="2"/>
        <scheme val="minor"/>
      </rPr>
      <t>FPP</t>
    </r>
  </si>
  <si>
    <r>
      <t xml:space="preserve">Liquiritigenin
Steppogenin
Eriodictyol
Hesperetin
Sakuranetin
Isosakuranetin
Tsugafolin
Phloretin
</t>
    </r>
    <r>
      <rPr>
        <sz val="11"/>
        <color rgb="FFFF0000"/>
        <rFont val="Calibri"/>
        <family val="2"/>
        <scheme val="minor"/>
      </rPr>
      <t>Flavanone
Pinostrobin
Naringin
Robtin
Hesperiden</t>
    </r>
  </si>
  <si>
    <t>Prenylation at C8</t>
  </si>
  <si>
    <t>GUILDT</t>
  </si>
  <si>
    <t>https://doi.org/10.1016/j.apsb.2018.01.009</t>
  </si>
  <si>
    <t>Li et al., 2018</t>
  </si>
  <si>
    <t>https://doi.org/10.1093/pcp/pcx167</t>
  </si>
  <si>
    <t>Liu et al., 2018</t>
  </si>
  <si>
    <t>LjG6DT</t>
  </si>
  <si>
    <t>Lotus japonicus</t>
  </si>
  <si>
    <t>GmG2DT</t>
  </si>
  <si>
    <t>Yoneyama et al., 2016</t>
  </si>
  <si>
    <t>https://doi.org/10.1093/pcp/pcw178</t>
  </si>
  <si>
    <t>GmIDT2</t>
  </si>
  <si>
    <t>PcM4DT</t>
  </si>
  <si>
    <t>Psoralea corylifolia (Cullen corylifolium)</t>
  </si>
  <si>
    <t>He et al., 2018</t>
  </si>
  <si>
    <t>https://doi.org/10.1039/c8ob01724g</t>
  </si>
  <si>
    <t>GmIDT1</t>
  </si>
  <si>
    <t>GmC4DT</t>
  </si>
  <si>
    <t>TaHGGT</t>
  </si>
  <si>
    <t>Cahoon et al., 2003</t>
  </si>
  <si>
    <t>https://doi.org/10.1038/nbt853</t>
  </si>
  <si>
    <t>HvHGGT</t>
  </si>
  <si>
    <t>Hordeum vulgare</t>
  </si>
  <si>
    <t>Murraya exotica</t>
  </si>
  <si>
    <t>https://doi.org/10.1039/D2OB01054B</t>
  </si>
  <si>
    <t>Li et al., 2022</t>
  </si>
  <si>
    <t>Citrus paradisi</t>
  </si>
  <si>
    <t>CpPT1 (B5OGT)</t>
  </si>
  <si>
    <t>Bergaptol</t>
  </si>
  <si>
    <t xml:space="preserve">U7OGT
</t>
  </si>
  <si>
    <t>Bergamottin</t>
  </si>
  <si>
    <t>O5</t>
  </si>
  <si>
    <t xml:space="preserve">O7
</t>
  </si>
  <si>
    <t xml:space="preserve">Auraptene
</t>
  </si>
  <si>
    <t>ClPT1b (U8GT)</t>
  </si>
  <si>
    <t xml:space="preserve">ClPT1a
</t>
  </si>
  <si>
    <t>8-geranylumbelliferone (mostly)</t>
  </si>
  <si>
    <t xml:space="preserve">C6
</t>
  </si>
  <si>
    <t>6-geranylumbelliferone (very low amount)</t>
  </si>
  <si>
    <t>Munakata at al., 2014</t>
  </si>
  <si>
    <t>PcPT</t>
  </si>
  <si>
    <t>Petroselinum crispum</t>
  </si>
  <si>
    <t>https://doi.org/10.1111/tpj.12409</t>
  </si>
  <si>
    <t>Karamat et al., 2014</t>
  </si>
  <si>
    <t>AkPT1</t>
  </si>
  <si>
    <t>Angelica keiskei</t>
  </si>
  <si>
    <t>Isoimperatorin</t>
  </si>
  <si>
    <t>https://doi.org/10.1134/S1021443723700280</t>
  </si>
  <si>
    <t>Shtratnikova et al., 2023</t>
  </si>
  <si>
    <t>MaOGT</t>
  </si>
  <si>
    <t>Zhong et al., 2018</t>
  </si>
  <si>
    <t>https://doi.org/10.1093/pcp/pcy138</t>
  </si>
  <si>
    <t>MaIPT</t>
  </si>
  <si>
    <t>Wang et al., 2015</t>
  </si>
  <si>
    <t>https://doi.org/10.1074/jbc.M114.608265</t>
  </si>
  <si>
    <t>CtIDT</t>
  </si>
  <si>
    <t>Cudrania tricuspidata</t>
  </si>
  <si>
    <t>Oxyresveratrol</t>
  </si>
  <si>
    <t>Chlorophorin</t>
  </si>
  <si>
    <r>
      <rPr>
        <b/>
        <sz val="11"/>
        <color theme="1"/>
        <rFont val="Calibri"/>
        <family val="2"/>
        <scheme val="minor"/>
      </rPr>
      <t>catalyse the attachment of these PPs to oxyresveratrol. Trace amounts of products were only detected.</t>
    </r>
    <r>
      <rPr>
        <sz val="11"/>
        <color theme="1"/>
        <rFont val="Calibri"/>
        <family val="2"/>
        <scheme val="minor"/>
      </rPr>
      <t xml:space="preserve">
IPP
DMAPP
FPP
GGPP</t>
    </r>
  </si>
  <si>
    <r>
      <t xml:space="preserve">Resveratrol (slightly catalyzed)
</t>
    </r>
    <r>
      <rPr>
        <sz val="11"/>
        <color rgb="FFFF0000"/>
        <rFont val="Calibri"/>
        <family val="2"/>
        <scheme val="minor"/>
      </rPr>
      <t>Piceatannol
Pinosylvine
Pterostilbene
Isoliquiritigenin
Genistein
Apigenin
Luteolin
Diosmetin
Naringenin</t>
    </r>
  </si>
  <si>
    <r>
      <t xml:space="preserve">Ca2+
Ni2+
Fe2+
Ba2+
</t>
    </r>
    <r>
      <rPr>
        <sz val="11"/>
        <color rgb="FFFF0000"/>
        <rFont val="Calibri"/>
        <family val="2"/>
        <scheme val="minor"/>
      </rPr>
      <t>Cu2+
Mn2+
Co2+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EDTA</t>
    </r>
  </si>
  <si>
    <t>Fabaceae</t>
  </si>
  <si>
    <t>Flavonoid</t>
  </si>
  <si>
    <t>Hypericaceae</t>
  </si>
  <si>
    <t>Xanthone</t>
  </si>
  <si>
    <t>Stilbenoid</t>
  </si>
  <si>
    <t>Phenylpropanoid</t>
  </si>
  <si>
    <t>Rutaceae</t>
  </si>
  <si>
    <t>Coumarin</t>
  </si>
  <si>
    <t>Moraceae</t>
  </si>
  <si>
    <t>p-hydroxybenzoate</t>
  </si>
  <si>
    <t>Family</t>
  </si>
  <si>
    <t>Isoliquiritigenin</t>
  </si>
  <si>
    <t>3'-dimethylallylisoliquiritigenin</t>
  </si>
  <si>
    <r>
      <t xml:space="preserve">2',4'-Dihydroxychalcone
2,4,2',4'-Tetrahydroxychalcone
Butein
Genistein
2'-hydroxygenistein
Apigenin (least)
</t>
    </r>
    <r>
      <rPr>
        <sz val="11"/>
        <color rgb="FFFF0000"/>
        <rFont val="Calibri"/>
        <family val="2"/>
        <scheme val="minor"/>
      </rPr>
      <t>2'-hydroxychalcone
4'-hydroxychalcone
Daidzein
Orobol
Chrysin
Luteolin
Diosmetin
Pinocembrin
Naringenin
2,4-Dihydroxybenzoic acid
Homogentisic acid</t>
    </r>
  </si>
  <si>
    <r>
      <t xml:space="preserve">2'-hydroxygenistein
2,4,2',4'-tetrahydroxychalcone
Genistein
2',4'-Dihydroxychalcone
Butein (least)
</t>
    </r>
    <r>
      <rPr>
        <sz val="11"/>
        <color rgb="FFFF0000"/>
        <rFont val="Calibri"/>
        <family val="2"/>
        <scheme val="minor"/>
      </rPr>
      <t>2'-hydroxychalcone
4'-hydroxychalcone
Daidzein
Orobol
Chrysin
Apigenin
Luteolin
Diosmetin
Pinocembrin
Naringenin
2,4-Dihydroxybenzoic acid
Homogentisic acid</t>
    </r>
  </si>
  <si>
    <t>FPP
GGPP
PPP</t>
  </si>
  <si>
    <r>
      <t xml:space="preserve">Ba2+
Ca2+
Mn2+
Fe2+
Ni2+
</t>
    </r>
    <r>
      <rPr>
        <sz val="11"/>
        <color rgb="FFFF0000"/>
        <rFont val="Calibri"/>
        <family val="2"/>
        <scheme val="minor"/>
      </rPr>
      <t>Co2+
Cu2+
EDTA</t>
    </r>
  </si>
  <si>
    <r>
      <t xml:space="preserve">Mn2+
Ca2+
Fe2+
Ba2+
</t>
    </r>
    <r>
      <rPr>
        <sz val="11"/>
        <color rgb="FFFF0000"/>
        <rFont val="Calibri"/>
        <family val="2"/>
        <scheme val="minor"/>
      </rPr>
      <t>Ni2+
Co2+
Cu2+
EDTA</t>
    </r>
  </si>
  <si>
    <r>
      <t>~ 30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</si>
  <si>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DMAPP: 23.9 µM
Isoliquiritigenin: 23.9 µM
Genistein: 36 µM</t>
  </si>
  <si>
    <t>DMAPP: 173.6 µM
Isoliquiritigenin: 109.6 µM
Genistein: 255.9 µM</t>
  </si>
  <si>
    <t>C3'
C6</t>
  </si>
  <si>
    <t>CsPT1</t>
  </si>
  <si>
    <t>Cannabigerolic acid and 5-geranyl olivetolic acid</t>
  </si>
  <si>
    <t>DMAPP
IPP
NPP
FPP
GGPP</t>
  </si>
  <si>
    <t>Cu2+
Ca2+
Zn2+
Co2+
Mn2+
Fe2+</t>
  </si>
  <si>
    <t>Luo et al., 2019</t>
  </si>
  <si>
    <t>https://doi.org/10.1038/s41586-019-0978-9</t>
  </si>
  <si>
    <t>HlPT-2</t>
  </si>
  <si>
    <t>Li et al., 2015</t>
  </si>
  <si>
    <t>https://doi.org/10.1104/pp.114.253682</t>
  </si>
  <si>
    <t>HcPT</t>
  </si>
  <si>
    <t>https://doi.org/10.3390/molecules200915616</t>
  </si>
  <si>
    <t>Fiesel et al., 2015</t>
  </si>
  <si>
    <t>1,3,6,7-tetrahydroxyxanthone</t>
  </si>
  <si>
    <t>1,3,6,7-tetrahydroxy-8-prenyl-xanthone</t>
  </si>
  <si>
    <r>
      <t xml:space="preserve">1,3,7-trihydroxyxanthone
</t>
    </r>
    <r>
      <rPr>
        <sz val="11"/>
        <color rgb="FFFF0000"/>
        <rFont val="Calibri"/>
        <family val="2"/>
        <scheme val="minor"/>
      </rPr>
      <t>1,3,5,6-tetrahydroxyxanthone
1,7-dihydroxyxanthone
Naringenin
Quercetin
2,5-dihydroxyphenylacetic acid
4-hydroxybenzoic acid
4-hydroxybenzophenone
2,4,6-trihydroxybenzophenone</t>
    </r>
  </si>
  <si>
    <r>
      <t xml:space="preserve">Co2+
Mn2+
Fe2+
Cu2+
Zn2+
</t>
    </r>
    <r>
      <rPr>
        <sz val="11"/>
        <color rgb="FFFF0000"/>
        <rFont val="Calibri"/>
        <family val="2"/>
        <scheme val="minor"/>
      </rPr>
      <t>EDTA</t>
    </r>
  </si>
  <si>
    <t>DMAPP: 87 µM
1,3,6,7-tetrahydroxyxanthone: 211 µM</t>
  </si>
  <si>
    <t>AePGT</t>
  </si>
  <si>
    <t>AePGT4</t>
  </si>
  <si>
    <t>AePGT5</t>
  </si>
  <si>
    <t>AePGT6</t>
  </si>
  <si>
    <t>GPP: 5.324 µM
PHB: 21.58 µM</t>
  </si>
  <si>
    <t>GPP: 4.602 µM
PHB: 15.61 µM</t>
  </si>
  <si>
    <t>PHB: 19.31 µM</t>
  </si>
  <si>
    <t>GPP: 4.778 µM
PHB: 18.64 µM</t>
  </si>
  <si>
    <t>Co2+
Fe2+
Mn2+
Ba2+ (trace)
Ca2+ (trace)
Zn2+ (trace)
Cu2+ (trace)
Pb2+ (trace)
Cd2+ (trace)</t>
  </si>
  <si>
    <r>
      <t xml:space="preserve">Co2+
Fe2+
Mn2+
</t>
    </r>
    <r>
      <rPr>
        <sz val="11"/>
        <color rgb="FFFF0000"/>
        <rFont val="Calibri"/>
        <family val="2"/>
        <scheme val="minor"/>
      </rPr>
      <t>Ba2+
Ca2+
Zn2+
Cu2+
Pb2+
Cd2+</t>
    </r>
  </si>
  <si>
    <r>
      <t xml:space="preserve">Co2+
Fe2+
Mn2+
Ba2+ (trace)
Ca2+ (trace)
</t>
    </r>
    <r>
      <rPr>
        <sz val="11"/>
        <color rgb="FFFF0000"/>
        <rFont val="Calibri"/>
        <family val="2"/>
        <scheme val="minor"/>
      </rPr>
      <t>Zn2+
Cu2+
Pb2+
Cd2+</t>
    </r>
  </si>
  <si>
    <t>AtPPT1</t>
  </si>
  <si>
    <t>Munakata et al., 2012</t>
  </si>
  <si>
    <t>http://dx.doi.org/10.1271/bbb.120192</t>
  </si>
  <si>
    <r>
      <t xml:space="preserve">Xanthotoxol
5-hydroxy-7-methoxycoumarin
5,7-dihydroxycoumarin
Umbeliferone (C-prenylation)
</t>
    </r>
    <r>
      <rPr>
        <sz val="11"/>
        <color rgb="FFFF0000"/>
        <rFont val="Calibri"/>
        <family val="2"/>
        <scheme val="minor"/>
      </rPr>
      <t>5-methoxy-7-hydroxycoumarin</t>
    </r>
  </si>
  <si>
    <t>7.5 - 8.0</t>
  </si>
  <si>
    <t>GPP: 9 µM
Bergaptol: 140 µM</t>
  </si>
  <si>
    <t>CmiPT1a</t>
  </si>
  <si>
    <t>CmiPT1b</t>
  </si>
  <si>
    <t>Citrus micrantha</t>
  </si>
  <si>
    <t>Xanthotoxol
5-hydroxy-7-methoxycoumarin</t>
  </si>
  <si>
    <t>CpPT3</t>
  </si>
  <si>
    <r>
      <t xml:space="preserve">5-hydroxy-7-methoxycoumarin (trace)
Bergaptol (trace)
p-coumaric acid (trace)
</t>
    </r>
    <r>
      <rPr>
        <sz val="11"/>
        <color rgb="FFFF0000"/>
        <rFont val="Calibri"/>
        <family val="2"/>
        <scheme val="minor"/>
      </rPr>
      <t>Xanthotoxol
Ferulic acid</t>
    </r>
  </si>
  <si>
    <t>8-geranylumbelliferone
6-geranylumbelliferone (trace)</t>
  </si>
  <si>
    <t>C8
C6</t>
  </si>
  <si>
    <r>
      <t xml:space="preserve">Co2+
Ni2+
Fe2+
Mn2+
Zn2+
Ca2+
</t>
    </r>
    <r>
      <rPr>
        <sz val="11"/>
        <color rgb="FFFF0000"/>
        <rFont val="Calibri"/>
        <family val="2"/>
        <scheme val="minor"/>
      </rPr>
      <t>EDTA</t>
    </r>
  </si>
  <si>
    <r>
      <t xml:space="preserve">Heterologous expression in </t>
    </r>
    <r>
      <rPr>
        <i/>
        <sz val="11"/>
        <color theme="1"/>
        <rFont val="Calibri"/>
        <family val="2"/>
        <scheme val="minor"/>
      </rPr>
      <t>N. benthamiana</t>
    </r>
  </si>
  <si>
    <t>Coumarin
6-methoxycoumarin
7-methoxycoumarin
6,7-dimethoxycoumarin
7-ethoxycoumarin
Psoralen
Bergaptol
Xanthotoxol
Bergapten
Xanthotoxin
5,8-dihydroxy-psoralen
Isobergaptol
Sphondinol
5,6-dihydroxyangelicin</t>
  </si>
  <si>
    <t>C6 (major)
C8 (minor)</t>
  </si>
  <si>
    <t>Demethylsuberosine (6-prenylated umbelliferone) (major)
Osthenol (8-prenylated umbelliferone) (minor)</t>
  </si>
  <si>
    <r>
      <rPr>
        <b/>
        <sz val="11"/>
        <color theme="1"/>
        <rFont val="Calibri"/>
        <family val="2"/>
        <scheme val="minor"/>
      </rPr>
      <t>DMS formation</t>
    </r>
    <r>
      <rPr>
        <sz val="11"/>
        <color theme="1"/>
        <rFont val="Calibri"/>
        <family val="2"/>
        <scheme val="minor"/>
      </rPr>
      <t xml:space="preserve">
DMAPP: 79 µM
Umbelliferone: 21 µM
</t>
    </r>
    <r>
      <rPr>
        <b/>
        <sz val="11"/>
        <color theme="1"/>
        <rFont val="Calibri"/>
        <family val="2"/>
        <scheme val="minor"/>
      </rPr>
      <t>Osthenol formation</t>
    </r>
    <r>
      <rPr>
        <sz val="11"/>
        <color theme="1"/>
        <rFont val="Calibri"/>
        <family val="2"/>
        <scheme val="minor"/>
      </rPr>
      <t xml:space="preserve">
DMAPP: 45 µM
Umbelliferone: 25 µM</t>
    </r>
  </si>
  <si>
    <t>2-methyl-6-geranylgeranylbenzoquinol</t>
  </si>
  <si>
    <t>Isoliquiritigenin
Naringenin chalcone
2',4'-dihydroxychalcone
2,4,2',4'-tetrahydroxychalcone</t>
  </si>
  <si>
    <t>2-hydroxychalcone
2'-hydroxychalcone</t>
  </si>
  <si>
    <t>Prenylated products at C3'</t>
  </si>
  <si>
    <t>C3'</t>
  </si>
  <si>
    <t>GPP
FPP
GGPP
PPP</t>
  </si>
  <si>
    <t>Co2+
Ni2+
Fe2+
Ba2+
Mn2+
Ca2+</t>
  </si>
  <si>
    <t>DMAPP: 138 µmol/L
Isoliquiritigenin: 16 µmol/L</t>
  </si>
  <si>
    <t>Genistein</t>
  </si>
  <si>
    <t>2'-hydroxygenistein
Daidzein
Biochanin A
Formononetin
Apigenin
Luteolin
Tricetin
Kaempferol
Quercetin
Myricetin
Naringenin
Liquiritigenin</t>
  </si>
  <si>
    <r>
      <t xml:space="preserve">Co2+
Mn2+
Ca2+
Zn2+
Fe2+
</t>
    </r>
    <r>
      <rPr>
        <sz val="11"/>
        <color rgb="FFFF0000"/>
        <rFont val="Calibri"/>
        <family val="2"/>
        <scheme val="minor"/>
      </rPr>
      <t>Cu2+</t>
    </r>
  </si>
  <si>
    <t xml:space="preserve">Wighteone (6-prenylgenistein)
</t>
  </si>
  <si>
    <r>
      <t xml:space="preserve">Full length protein
</t>
    </r>
    <r>
      <rPr>
        <sz val="11"/>
        <color theme="1"/>
        <rFont val="Calibri"/>
        <family val="2"/>
        <scheme val="minor"/>
      </rPr>
      <t xml:space="preserve">DMAPP: 171.2 µM
Genistein: 22.82 µM
</t>
    </r>
    <r>
      <rPr>
        <b/>
        <sz val="11"/>
        <color theme="1"/>
        <rFont val="Calibri"/>
        <family val="2"/>
        <scheme val="minor"/>
      </rPr>
      <t>Truncated protein</t>
    </r>
    <r>
      <rPr>
        <sz val="11"/>
        <color theme="1"/>
        <rFont val="Calibri"/>
        <family val="2"/>
        <scheme val="minor"/>
      </rPr>
      <t xml:space="preserve">
DMAPP: 165.5 µM
Genistein: 292.6 µM</t>
    </r>
  </si>
  <si>
    <t>2-dimethylallylglycinol</t>
  </si>
  <si>
    <t>C2</t>
  </si>
  <si>
    <t>DMAPP: 121 µM
Glycinol: 183 µM</t>
  </si>
  <si>
    <t>Genistein
Daidzein</t>
  </si>
  <si>
    <t>Naringenin
Liquiritigenin
Coumestrol
Glycinol
Glycinol
2,7,4'-trihydroxyisoflavanone</t>
  </si>
  <si>
    <t>Coumestrol</t>
  </si>
  <si>
    <t>Naringenin
Liquiritigenin
Genistein
Daidzein
Glycinol</t>
  </si>
  <si>
    <t>Naringenin
Liquiritigenin
Genistein
Daidzein
Coumestrol</t>
  </si>
  <si>
    <r>
      <t xml:space="preserve">Mn2+
</t>
    </r>
    <r>
      <rPr>
        <sz val="11"/>
        <color rgb="FFFF0000"/>
        <rFont val="Calibri"/>
        <family val="2"/>
        <scheme val="minor"/>
      </rPr>
      <t>EDTA</t>
    </r>
  </si>
  <si>
    <t xml:space="preserve">
C8</t>
  </si>
  <si>
    <r>
      <t xml:space="preserve">
A</t>
    </r>
    <r>
      <rPr>
        <vertAlign val="subscript"/>
        <sz val="11"/>
        <color theme="1"/>
        <rFont val="Calibri"/>
        <family val="2"/>
        <scheme val="minor"/>
      </rPr>
      <t>ring</t>
    </r>
    <r>
      <rPr>
        <sz val="11"/>
        <color theme="1"/>
        <rFont val="Calibri"/>
        <family val="2"/>
        <scheme val="minor"/>
      </rPr>
      <t>-Dimethylallyldaidzein</t>
    </r>
  </si>
  <si>
    <t xml:space="preserve">
Bring-Dimethylallyldaidzein (from genistein)</t>
  </si>
  <si>
    <t>4-dimethylallylcoumestrol</t>
  </si>
  <si>
    <r>
      <t xml:space="preserve">Mn2+
Co2+
Fe2+
Ba2+
Sr2+
Ca2+
Sn2+
Ni2+
Zn2+
</t>
    </r>
    <r>
      <rPr>
        <sz val="11"/>
        <color rgb="FFFF0000"/>
        <rFont val="Calibri"/>
        <family val="2"/>
        <scheme val="minor"/>
      </rPr>
      <t>Cu2+</t>
    </r>
  </si>
  <si>
    <t>Between 8 and 9</t>
  </si>
  <si>
    <t>Maackianin
3-hydroxy-9-methoxy-pterocarpan</t>
  </si>
  <si>
    <t>4-dimethylallylmaackain
Licoagrocarpin</t>
  </si>
  <si>
    <t>IPP
GPP
FPP
GGPP
PPP</t>
  </si>
  <si>
    <t>Trifolirhizin
Licoagrocarpin
Shinpterocarpin
Phaseollin
1-methoxyphaseollin
Glycyuralin B
Edulenol
1-methoxyficifolinol
Kanzonol F
Glycyuralin D
Glyurallin A
11b-hydroxy-11b,1-dihydromedicarpin
Dehydroglyceollin I</t>
  </si>
  <si>
    <r>
      <rPr>
        <b/>
        <sz val="11"/>
        <color theme="1"/>
        <rFont val="Calibri"/>
        <family val="2"/>
        <scheme val="minor"/>
      </rPr>
      <t>For truncated protein</t>
    </r>
    <r>
      <rPr>
        <sz val="11"/>
        <color theme="1"/>
        <rFont val="Calibri"/>
        <family val="2"/>
        <scheme val="minor"/>
      </rPr>
      <t xml:space="preserve">
DMAPP: 161.68 µM
Maackain: 7.89 µM</t>
    </r>
  </si>
  <si>
    <t>8-geranylumbelliferone (major)
6-geranylumbelliferone (medium)
7-O-geranylumbelliferone (trace)</t>
  </si>
  <si>
    <t>C8
C6
O7</t>
  </si>
  <si>
    <r>
      <rPr>
        <sz val="11"/>
        <rFont val="Calibri"/>
        <family val="2"/>
        <scheme val="minor"/>
      </rPr>
      <t>DMAPP (produced two trace products 8-dimethylallylumbelliferone and 6-dimethylallylumbelliferone)</t>
    </r>
    <r>
      <rPr>
        <sz val="11"/>
        <color rgb="FFFF0000"/>
        <rFont val="Calibri"/>
        <family val="2"/>
        <scheme val="minor"/>
      </rPr>
      <t xml:space="preserve">
FPP
GGPP</t>
    </r>
  </si>
  <si>
    <t>4-hydroxy-N-methylquinolone</t>
  </si>
  <si>
    <r>
      <t xml:space="preserve">5,7-dihydroxycoumarin (with only GPP)
</t>
    </r>
    <r>
      <rPr>
        <sz val="11"/>
        <color rgb="FFFF0000"/>
        <rFont val="Calibri"/>
        <family val="2"/>
        <scheme val="minor"/>
      </rPr>
      <t>Coumarin
7-methoxycoumarin
7-hydroxy-6-methoxcoumarin
5,7-dimethoxycoumarin
Xanthotoxol
Bergaptol
4-hydroxy-N-methylquinolone
2,4-dihydroxy-quinolone
1-methoxy-3-methyl-carbazole
2-hydroxy-3-methyl-carbazole
3-methyl-carbazole
Indole
4-hydroxybenzaldehyde
p-coumaric acid
3-hydroxybenzoic acid
4-hydroxybenzoic acid
Kaempferol
Kaempferide</t>
    </r>
  </si>
  <si>
    <r>
      <t xml:space="preserve">2,4-dihydroxy-quinolone
</t>
    </r>
    <r>
      <rPr>
        <sz val="11"/>
        <color rgb="FFFF0000"/>
        <rFont val="Calibri"/>
        <family val="2"/>
        <scheme val="minor"/>
      </rPr>
      <t>Umbelliferone
5,7-dihydroxycoumarin
Coumarin
7-methoxycoumarin
7-hydroxy-6-methoxcoumarin
5,7-dimethoxycoumarin
Xanthotoxol
Bergaptol
1-methoxy-3-methyl-carbazole
2-hydroxy-3-methyl-carbazole
3-methyl-carbazole
Indole
4-hydroxybenzaldehyde
p-coumaric acid
3-hydroxybenzoic acid
4-hydroxybenzoic acid
Kaempferol
Kaempferide</t>
    </r>
  </si>
  <si>
    <t>3-demethyl-N-methylquinolone
3-demethylquinolone</t>
  </si>
  <si>
    <t>Ernst et al., 2025</t>
  </si>
  <si>
    <t xml:space="preserve">https://doi.org/10.1111/tpj.70268 </t>
  </si>
  <si>
    <t>C4 (reverse prenylation)</t>
  </si>
  <si>
    <t>9.0 - 9.5</t>
  </si>
  <si>
    <t>HsRPThxa</t>
  </si>
  <si>
    <t>HpRPThxa</t>
  </si>
  <si>
    <t>35°C</t>
  </si>
  <si>
    <t>HsRPThxa-tr</t>
  </si>
  <si>
    <t>Hyperixanthone A
Allanxanthone C</t>
  </si>
  <si>
    <r>
      <rPr>
        <b/>
        <sz val="11"/>
        <color theme="1"/>
        <rFont val="Calibri"/>
        <family val="2"/>
        <scheme val="minor"/>
      </rPr>
      <t>Hyperixanthone A formation</t>
    </r>
    <r>
      <rPr>
        <sz val="11"/>
        <color theme="1"/>
        <rFont val="Calibri"/>
        <family val="2"/>
        <scheme val="minor"/>
      </rPr>
      <t xml:space="preserve">
Patulone: 52.40 µM
DMAPP: 102.2 µM
</t>
    </r>
    <r>
      <rPr>
        <b/>
        <sz val="11"/>
        <color theme="1"/>
        <rFont val="Calibri"/>
        <family val="2"/>
        <scheme val="minor"/>
      </rPr>
      <t>Allanxanthone C formation</t>
    </r>
    <r>
      <rPr>
        <sz val="11"/>
        <color theme="1"/>
        <rFont val="Calibri"/>
        <family val="2"/>
        <scheme val="minor"/>
      </rPr>
      <t xml:space="preserve">
Patulone: 34.626 µM
DMAPP: 299.61 µM</t>
    </r>
  </si>
  <si>
    <r>
      <rPr>
        <b/>
        <sz val="11"/>
        <color theme="1"/>
        <rFont val="Calibri"/>
        <family val="2"/>
        <scheme val="minor"/>
      </rPr>
      <t>Hyperixanthone A formation</t>
    </r>
    <r>
      <rPr>
        <sz val="11"/>
        <color theme="1"/>
        <rFont val="Calibri"/>
        <family val="2"/>
        <scheme val="minor"/>
      </rPr>
      <t xml:space="preserve">
Patulone: 45.97 µM
DMAPP: 259.99 µM
</t>
    </r>
    <r>
      <rPr>
        <b/>
        <sz val="11"/>
        <color theme="1"/>
        <rFont val="Calibri"/>
        <family val="2"/>
        <scheme val="minor"/>
      </rPr>
      <t>Allanxanthone C formation</t>
    </r>
    <r>
      <rPr>
        <sz val="11"/>
        <color theme="1"/>
        <rFont val="Calibri"/>
        <family val="2"/>
        <scheme val="minor"/>
      </rPr>
      <t xml:space="preserve">
Patulone: 98.84 µM</t>
    </r>
  </si>
  <si>
    <r>
      <rPr>
        <b/>
        <sz val="11"/>
        <color theme="1"/>
        <rFont val="Calibri"/>
        <family val="2"/>
        <scheme val="minor"/>
      </rPr>
      <t>Hyperixanthone A formation</t>
    </r>
    <r>
      <rPr>
        <sz val="11"/>
        <color theme="1"/>
        <rFont val="Calibri"/>
        <family val="2"/>
        <scheme val="minor"/>
      </rPr>
      <t xml:space="preserve">
Patulone: 31.33 µM
DMAPP: 30.94 µM
</t>
    </r>
    <r>
      <rPr>
        <b/>
        <sz val="11"/>
        <color theme="1"/>
        <rFont val="Calibri"/>
        <family val="2"/>
        <scheme val="minor"/>
      </rPr>
      <t>Allanxanthone C formation</t>
    </r>
    <r>
      <rPr>
        <sz val="11"/>
        <color theme="1"/>
        <rFont val="Calibri"/>
        <family val="2"/>
        <scheme val="minor"/>
      </rPr>
      <t xml:space="preserve">
Patulone: 14.48 µM
DMAPP: 110.84 µM</t>
    </r>
  </si>
  <si>
    <t>9.0 - 10.0</t>
  </si>
  <si>
    <t>Li et al., 2025</t>
  </si>
  <si>
    <t>https://doi.org/10.1021/acs.jafc.5c04016</t>
  </si>
  <si>
    <t>Kaempferol</t>
  </si>
  <si>
    <t>8-prenylkaempferol</t>
  </si>
  <si>
    <t>EkF8PT</t>
  </si>
  <si>
    <t>8.0 - 8.5</t>
  </si>
  <si>
    <t>Epimedium sp.</t>
  </si>
  <si>
    <t>AdOPT1</t>
  </si>
  <si>
    <t>Angelica dahurica var. Formosana</t>
  </si>
  <si>
    <t>Apiaceae</t>
  </si>
  <si>
    <t>Nong et al., 2025</t>
  </si>
  <si>
    <t>Bergaptol: 112.9 µM
DMAPP: 1.97 µM</t>
  </si>
  <si>
    <t>O-prenylation</t>
  </si>
  <si>
    <t>E. coli</t>
  </si>
  <si>
    <t>Aspergillus terreus</t>
  </si>
  <si>
    <t>GmPT01</t>
  </si>
  <si>
    <t>Glyceocarpin</t>
  </si>
  <si>
    <t>Sukumaran et al., 2018</t>
  </si>
  <si>
    <t>https://doi.org/10.1111/tpj.14083</t>
  </si>
  <si>
    <t>AusN</t>
  </si>
  <si>
    <t>Aspergillus nidulans</t>
  </si>
  <si>
    <t>3,5-dimethylorsellinic acid</t>
  </si>
  <si>
    <t>prenylated 3,5-dimethylorsellinic acid</t>
  </si>
  <si>
    <t>Lo et al., 2012</t>
  </si>
  <si>
    <t xml:space="preserve">https://dx.doi.org/10.1021/ja209809t </t>
  </si>
  <si>
    <t>MpaA</t>
  </si>
  <si>
    <t>Regueria et al., 2011</t>
  </si>
  <si>
    <t>https://doi.org/10.1128/AEM.03015-10</t>
  </si>
  <si>
    <t>Penicillium brevicompactum</t>
  </si>
  <si>
    <t>Farnesyl-Phthalide intermediate</t>
  </si>
  <si>
    <t>Pyr6</t>
  </si>
  <si>
    <t>4-hydroxy-6-(3-pyridinyl)-2H-pyran-2-one (HPPO)</t>
  </si>
  <si>
    <t>Farnesyl-HPPO</t>
  </si>
  <si>
    <t>Itoh et al., 2010</t>
  </si>
  <si>
    <t>https://doi.org/10.1038/nchem.764</t>
  </si>
  <si>
    <t>4-hydroxybenzoic acid</t>
  </si>
  <si>
    <t>ZmHST</t>
  </si>
  <si>
    <t>ZmHPT</t>
  </si>
  <si>
    <t>Hunter et al., 2018</t>
  </si>
  <si>
    <t>https://doi.org/10.1111/tpj.13821</t>
  </si>
  <si>
    <t>Xie et al., 2017</t>
  </si>
  <si>
    <t>https://doi.org/10.3390/ijms18122780</t>
  </si>
  <si>
    <t>Zea mays</t>
  </si>
  <si>
    <t>SPP</t>
  </si>
  <si>
    <t>Okada et al., 2003</t>
  </si>
  <si>
    <t>https://doi.org/10.1007/s11103-004-1298-4</t>
  </si>
  <si>
    <t>3-solanesyl-4-hydroxybenzoic acid
3-geranyl-4-hydroxybenzoic acid</t>
  </si>
  <si>
    <t>Acylphloroglucinol</t>
  </si>
  <si>
    <t xml:space="preserve">https://doi.org/10.1016/j.jplph.2025.154543 </t>
  </si>
  <si>
    <t>MePT1</t>
  </si>
  <si>
    <t>MePT2</t>
  </si>
  <si>
    <r>
      <t xml:space="preserve">Xanthotoxol (very less product formed with GPP)
</t>
    </r>
    <r>
      <rPr>
        <sz val="11"/>
        <color rgb="FFFF0000"/>
        <rFont val="Calibri"/>
        <family val="2"/>
        <scheme val="minor"/>
      </rPr>
      <t>Umbelliferone
Isoliquiritigenin</t>
    </r>
  </si>
  <si>
    <t>crude protein microsomes from te lemon peel was used</t>
  </si>
  <si>
    <t>Hericium erinaceus</t>
  </si>
  <si>
    <t>HePT7</t>
  </si>
  <si>
    <t>HePT8</t>
  </si>
  <si>
    <t>3-dimethylallyl-4-hydroxybenzoic acid</t>
  </si>
  <si>
    <t>Orsellinaldehyde
5,7-dihydroxypthalide
Olivanic acid
Lecanoric acid
4-hydroxyaldehyde
4-hydroxybenzylalcohol
Hydroquinone
p-methylaminobenzaldehyde
Phloroglucinol
1-hydroxynaphthalen</t>
  </si>
  <si>
    <r>
      <t xml:space="preserve">p-hydroxybenzoic acid
</t>
    </r>
    <r>
      <rPr>
        <sz val="11"/>
        <color rgb="FFFF0000"/>
        <rFont val="Calibri"/>
        <family val="2"/>
        <scheme val="minor"/>
      </rPr>
      <t>Orsellinaldehyde
5,7-dihydroxypthalide
Olivanic acid
Lecanoric acid
4-hydroxyaldehyde
4-hydroxybenzylalcohol
Hydroquinone
p-methylaminobenzaldehyde
Phloroglucinol
1-hydroxynaphthalen</t>
    </r>
  </si>
  <si>
    <t>3-geranyl-o-orsellinic acid
3-geranyl-4-hydroxybenzoic acid</t>
  </si>
  <si>
    <t>Han et al., 2025</t>
  </si>
  <si>
    <t>https://doi.org/10.1016/j.bioorg.2025.108822</t>
  </si>
  <si>
    <t>3-geranyl-4-hydroxybenzoic acid</t>
  </si>
  <si>
    <t>LaPT3</t>
  </si>
  <si>
    <t>Hydroquinone</t>
  </si>
  <si>
    <t>Laetiporus sulphureus</t>
  </si>
  <si>
    <t xml:space="preserve">Hydroquinone
</t>
  </si>
  <si>
    <t>4-hydroxybenzoic acid
4-hydroxybenzyl alcohol
Olivanic acid
o-orsellinaldehyde
4-hydroxybenzaldehyde
Phloroglucinol
1-hydroxynaphtalene</t>
  </si>
  <si>
    <t>2-dimethylallylhydroquinone</t>
  </si>
  <si>
    <r>
      <t xml:space="preserve">Aspergillus oryzae </t>
    </r>
    <r>
      <rPr>
        <sz val="11"/>
        <color theme="1"/>
        <rFont val="Calibri"/>
        <family val="2"/>
        <scheme val="minor"/>
      </rPr>
      <t>(Biotransformation experiments)</t>
    </r>
  </si>
  <si>
    <t>Wang et al., 2026</t>
  </si>
  <si>
    <t>https://doi.org/10.1007/s13659-025-00571-2</t>
  </si>
  <si>
    <t>Boraginaceae</t>
  </si>
  <si>
    <t xml:space="preserve"> pterostilbene,piceid,  naringenin, apigenin , genistein</t>
  </si>
  <si>
    <t>pterostilbene, piceid, pinosylvin,  naringenin, apigenin , genistein</t>
  </si>
  <si>
    <t>IPP, GPP, FPP, GGPP</t>
  </si>
  <si>
    <t>MaPT10</t>
  </si>
  <si>
    <t>Moracin M, Resveratrol, Pinosylvin, Wittifuran X, Umbelliferone, Genistein, Isoliquiritigenin, Steppogenin, Norartocarpetin</t>
  </si>
  <si>
    <t>n.a</t>
  </si>
  <si>
    <t xml:space="preserve">Prenylated oxyreserveratol </t>
  </si>
  <si>
    <t>no precise annotation</t>
  </si>
  <si>
    <r>
      <rPr>
        <i/>
        <sz val="11"/>
        <color theme="1"/>
        <rFont val="Calibri"/>
        <family val="2"/>
        <scheme val="minor"/>
      </rPr>
      <t>N. benthamiana</t>
    </r>
    <r>
      <rPr>
        <sz val="11"/>
        <color theme="1"/>
        <rFont val="Calibri"/>
        <family val="2"/>
        <scheme val="minor"/>
      </rPr>
      <t xml:space="preserve"> leaves </t>
    </r>
  </si>
  <si>
    <t>(Liu et al., 2025)</t>
  </si>
  <si>
    <t>https://doi.org/10.1002/anie.202504190</t>
  </si>
  <si>
    <t>MaPT11 (MaOGT)</t>
  </si>
  <si>
    <t>DMAPP, GPP</t>
  </si>
  <si>
    <t>IPP, FPP, GGPP</t>
  </si>
  <si>
    <t>23.23 ± 0.72</t>
  </si>
  <si>
    <t>2.94 ± 0.07 (DMAPP) ,  30.09 ± 0.17 (GPP)</t>
  </si>
  <si>
    <t>MaPT17</t>
  </si>
  <si>
    <t>12.88 ± 0.12</t>
  </si>
  <si>
    <t>MaPT21</t>
  </si>
  <si>
    <t>Moracin M, Wittifuran X, Oxyresveratrol
, Resveratrol, Pinosylvin</t>
  </si>
  <si>
    <t>Umbelliferone, Genistein, Isoliquiritigenin, Steppogenin, Norartocarpetin</t>
  </si>
  <si>
    <t>4'-Prenylmoracin M), 4'-Geranylmoracin M, (4'-Prenylwittifuran X</t>
  </si>
  <si>
    <t>MaPT22</t>
  </si>
  <si>
    <t>1.86 ± 0.04 (DMAPP)  4.83 ± 0.09 (GPP)</t>
  </si>
  <si>
    <t>Moracin M,  Resveratrol (trace)</t>
  </si>
  <si>
    <t>Oxyresveratrol, Pinosylvin, Wittifuran X, Umbelliferone, Genistein, Isoliquiritigenin, Steppogenin, Norartocarpetin</t>
  </si>
  <si>
    <t>MaPT23</t>
  </si>
  <si>
    <t>0.57 ± 0.02 (DMAPP) 0.39 ± 0.02 (GPP)</t>
  </si>
  <si>
    <r>
      <t>2'</t>
    </r>
    <r>
      <rPr>
        <sz val="11"/>
        <color theme="1"/>
        <rFont val="Arial"/>
        <family val="2"/>
      </rPr>
      <t>-Prenylmoracin M</t>
    </r>
    <r>
      <rPr>
        <b/>
        <sz val="11"/>
        <color theme="1"/>
        <rFont val="Arial"/>
        <family val="2"/>
      </rPr>
      <t>, 2'-Geranylmoracin M</t>
    </r>
  </si>
  <si>
    <t>MaPT24</t>
  </si>
  <si>
    <t>Moracin M, Wittifuran X</t>
  </si>
  <si>
    <t xml:space="preserve"> oxyresveratrol,  Resveratrol, Pinosylvin, Umbelliferone, Genistein, Isoliquiritigenin, Steppogenin, Norartocarpetin</t>
  </si>
  <si>
    <t>oxyresveratrol,  Resveratrol, Umbelliferone, Genistein, Isoliquiritigenin, Steppogenin, Norartocarpetin</t>
  </si>
  <si>
    <t>2'-Prenylmoracin M</t>
  </si>
  <si>
    <t>29.02 ± 0.51</t>
  </si>
  <si>
    <t>MaPT25</t>
  </si>
  <si>
    <t>Moracin M, Resveratrol</t>
  </si>
  <si>
    <t>DMAPP, GPP, FPP</t>
  </si>
  <si>
    <t>IPP, GGPP</t>
  </si>
  <si>
    <t>2'-geranylmoracin M</t>
  </si>
  <si>
    <t>2.18 ± 0.03 (DMAPP),  23.31 ± 0.49 (GPP)</t>
  </si>
  <si>
    <t>MaPT27</t>
  </si>
  <si>
    <t>Moracin M, Wittifuran X, pinosylvin</t>
  </si>
  <si>
    <t>9.49 ± 0.08 (oxy, DMAPP), 28.59 ± 0.34 (mora, DMAPP),  29.63 ± 0.50 (GPP, mora)</t>
  </si>
  <si>
    <t>Moracin M, Resveratrol, oxyresveratrol,  Wittifuran X</t>
  </si>
  <si>
    <t>Pinosylvin, Umbelliferone, Genistein, Isoliquiritigenin, Steppogenin, Norartocarpetin</t>
  </si>
  <si>
    <r>
      <t>7</t>
    </r>
    <r>
      <rPr>
        <sz val="11"/>
        <color theme="1"/>
        <rFont val="Arial"/>
        <family val="2"/>
      </rPr>
      <t>-Prenylmoracin M</t>
    </r>
    <r>
      <rPr>
        <b/>
        <sz val="11"/>
        <color theme="1"/>
        <rFont val="Arial"/>
        <family val="2"/>
      </rPr>
      <t>, 7-Geranylmoracin M</t>
    </r>
  </si>
  <si>
    <t>MaPT28</t>
  </si>
  <si>
    <t xml:space="preserve">Moracin M, </t>
  </si>
  <si>
    <t>Moracin M, Oxyresveratrol, Wittifuran X</t>
  </si>
  <si>
    <t xml:space="preserve"> Resveratrol, Umbelliferone, Genistein, Isoliquiritigenin, Steppogenin, Norartocarpetin</t>
  </si>
  <si>
    <t>4.49 ± 0.1 (Oxy, DMAPP) . 8.31 ± 0.06 (Mor, DMAPP), 7.79 ± 0.26 (Mor, GPP)</t>
  </si>
  <si>
    <t>MaPT29</t>
  </si>
  <si>
    <t>33.51 ± 0.35 (DMAPP),  3.45 ± 0.14 (GPP)</t>
  </si>
  <si>
    <t xml:space="preserve">98.94 ± 0.16 (DMAPP, oxy) 44.87 ± 0.32 9(GPP, oxy), 93.58 ± 0.28 (Mor, DMAPP) 28.75 ± 0.53 (Mor, GPP                                        </t>
  </si>
  <si>
    <t>MaPT30</t>
  </si>
  <si>
    <t>8.64 ± 2.19 (Oxy, GPP),  3.15 ± 0.0P),  (Mor, DMAPP) 57.30 ± 0.14 ((Mor, GPP)</t>
  </si>
  <si>
    <r>
      <t>7</t>
    </r>
    <r>
      <rPr>
        <sz val="11"/>
        <color theme="1"/>
        <rFont val="Arial"/>
        <family val="2"/>
      </rPr>
      <t>-Prenylmoracin M</t>
    </r>
    <r>
      <rPr>
        <b/>
        <sz val="11"/>
        <color theme="1"/>
        <rFont val="Arial"/>
        <family val="2"/>
      </rPr>
      <t>, 4-Geranylmoracin M</t>
    </r>
  </si>
  <si>
    <r>
      <t>5</t>
    </r>
    <r>
      <rPr>
        <sz val="11"/>
        <color theme="1"/>
        <rFont val="Arial"/>
        <family val="2"/>
      </rPr>
      <t>-Prenylmoracin M</t>
    </r>
    <r>
      <rPr>
        <b/>
        <sz val="11"/>
        <color theme="1"/>
        <rFont val="Arial"/>
        <family val="2"/>
      </rPr>
      <t>, 7-Geranylmoracin M</t>
    </r>
  </si>
  <si>
    <t>Moracin M, Resveratrol, oxyresveratrol, Isoliquiritigenin, Steppogenin, Norartocarpetin</t>
  </si>
  <si>
    <t xml:space="preserve">  Pinosylvin, Umbelliferone, Wittifuran X, Genistein</t>
  </si>
  <si>
    <t>0.37 ± 0.03 (GPP)</t>
  </si>
  <si>
    <t>MaPT31</t>
  </si>
  <si>
    <t>Oxyresveratrol, Resveratrol, Pinosylvin, Wittifuran X, Umbelliferone, Genistein, Isoliquiritigenin, Steppogenin, Norartocarpetin</t>
  </si>
  <si>
    <t>DMAPP, IPP, GPP, FPP, GGPP</t>
  </si>
  <si>
    <t>35 °C,</t>
  </si>
  <si>
    <t>45 °C,</t>
  </si>
  <si>
    <t>https://doi.org/10.1002/anie.202504201</t>
  </si>
  <si>
    <t>Saposhnikovia  divaricata</t>
  </si>
  <si>
    <t>Chromone</t>
  </si>
  <si>
    <t>Noreugenin</t>
  </si>
  <si>
    <t>Yeast WAT11 cells</t>
  </si>
  <si>
    <t>Peucenin</t>
  </si>
  <si>
    <t>29.08 μM</t>
  </si>
  <si>
    <t>(Zou et al., 2025)</t>
  </si>
  <si>
    <t>https://doi.org/10.1038/s41467-025-58498-8</t>
  </si>
  <si>
    <t>SdPT1-2</t>
  </si>
  <si>
    <t>AdPT1</t>
  </si>
  <si>
    <t>AdPT2</t>
  </si>
  <si>
    <t>AdPT3</t>
  </si>
  <si>
    <t>Angelica dahurica</t>
  </si>
  <si>
    <t>Herniarin, Esculetin, 5,7-Dihydroxycoumarin, Psoralen, Xanthotoxol, Bergaptol, 5-Hydroxyxanthotoxin, Angelicin, Xanthotoxin, Bergapten</t>
  </si>
  <si>
    <t>Xanthotoxol</t>
  </si>
  <si>
    <t>Herniarin,Umbelliferone, Esculetin, 5,7-Dihydroxycoumarin, Psoralen, Bergaptol, 5-Hydroxyxanthotoxin, Angelicin, Xanthotoxin, Bergapten</t>
  </si>
  <si>
    <t>E.coli</t>
  </si>
  <si>
    <t>7-demethylsuberosin (DMS)</t>
  </si>
  <si>
    <t>(Han et al., 2023)</t>
  </si>
  <si>
    <t>7-demethylsuberosin (DMS) and osthenol (trace)</t>
  </si>
  <si>
    <t>Imperatorin</t>
  </si>
  <si>
    <t>Biochanin A
Quercetin
Luteolin
Hesperetin
Naringenin chalcone
Butein</t>
  </si>
  <si>
    <r>
      <t xml:space="preserve">Naringenin, Liquiritigenin, Apigenin, Coumestrol, 2',4',6',3,4-Pentahydroxychalcone, Kaempferol,  Genistein, Galangin, Isorhamnetin,  Tamarixetin, Eriodictyol, Dihydrokaempferol, Kaempferide, Tricin, Echinatin, Isoliquiritigenin, 5-methyl-7-hydroxyisoflavone
</t>
    </r>
    <r>
      <rPr>
        <sz val="11"/>
        <color rgb="FFFF0000"/>
        <rFont val="Calibri"/>
        <family val="2"/>
        <scheme val="minor"/>
      </rPr>
      <t>2'-Hydroxygenistein 7-methoxy-4'-hydroxy-isoflavone, daidzein, 7-hydroxyisoflavoneirisolidone, 3',4',7-trihydroxy-isoflavone, 6,7,4'-trihydroxyisoflavone, glycitein, formononetin, soy isoflavone, mearnsetin, fisetin,, morin hydrate, tricetin, dihydroquercetin, hydromyricetin.#, coumarin, umbelliferone</t>
    </r>
  </si>
  <si>
    <t>LaPT2</t>
  </si>
  <si>
    <t xml:space="preserve">Kaempferol 
Quercetin 
5-Deoxyquercetin 
Galangin </t>
  </si>
  <si>
    <r>
      <t xml:space="preserve">Myricetin 
4′-O-Methylkaempferol 
Naringenin 
Morin 
Aromadendrin 
</t>
    </r>
    <r>
      <rPr>
        <sz val="11"/>
        <color rgb="FFFF0000"/>
        <rFont val="Calibri"/>
        <family val="2"/>
        <scheme val="minor"/>
      </rPr>
      <t>Taxifolin 3-Hydroxyflavone
Kaempferol-3-O-glucoside
Rhamnetin
Catechin</t>
    </r>
  </si>
  <si>
    <t>yeast W303A1</t>
  </si>
  <si>
    <t>(Liu, Xia et al. 2021)</t>
  </si>
  <si>
    <t xml:space="preserve">74.07 ± 3.78 (kaempferol, 66.11 ± 7.54 μM (DMAPP)), 115.19 ± 34.25 (4'-O-methylkaempferol), and ( quercetin)102.81 ± 6.41 μM  20.66 ± 2.91 galangin, 10.02 ± 3.19 (5-deoxyquercetin),20.85 ± 3.79 ( morin), 20.08 ± 4.44 μM aromadendrin </t>
  </si>
  <si>
    <t>https://doi.org/10.3389/fpls.2021.673337</t>
  </si>
  <si>
    <t>EpPT8</t>
  </si>
  <si>
    <t>Epimedium pubescens</t>
  </si>
  <si>
    <t>Berberidaceae</t>
  </si>
  <si>
    <t>kaempferol,</t>
  </si>
  <si>
    <r>
      <rPr>
        <sz val="11"/>
        <color theme="1"/>
        <rFont val="Calibri"/>
        <family val="2"/>
        <scheme val="minor"/>
      </rPr>
      <t xml:space="preserve"> quercetin, and apigenin</t>
    </r>
    <r>
      <rPr>
        <sz val="11"/>
        <color rgb="FFFF0000"/>
        <rFont val="Calibri"/>
        <family val="2"/>
        <scheme val="minor"/>
      </rPr>
      <t>,  Naringenin chalcone,  Myricetin, Kaempferide, Tamarixetin, Mearnsetin, , Luteolin, Tricetin, Tricin, Liquiritigenin, Naringenin, Eriodictyol, Dihydrokaempferol, Dihydroquercetin, Dihydromyricetin</t>
    </r>
  </si>
  <si>
    <t>yeast</t>
  </si>
  <si>
    <t>(Shen et al., 2022)</t>
  </si>
  <si>
    <t>https://doi.org/10.3389/fpls.2022.1034943</t>
  </si>
  <si>
    <t>AsPT1</t>
  </si>
  <si>
    <t>AsPT2</t>
  </si>
  <si>
    <t>Bergaptol, Psoralen, Xanthotoxol, Angelicin, Xanthotoxin, Bergapten</t>
  </si>
  <si>
    <t xml:space="preserve">demethylsuberosine </t>
  </si>
  <si>
    <t>(Wang et al., 2024)</t>
  </si>
  <si>
    <t>https://doi.org/10.1016/j.phytochem.2024.114102</t>
  </si>
  <si>
    <t>Angelica sinensis</t>
  </si>
  <si>
    <t>AgPT1</t>
  </si>
  <si>
    <t>Anethum graveolens</t>
  </si>
  <si>
    <t>7-Methoxycoumarin, Esculetin, Scopoletin, Bergaptol, Xanthotoxol, Genistein, Naringenin, Resveratrol</t>
  </si>
  <si>
    <t>GPP, FPP</t>
  </si>
  <si>
    <t>Mg²⁺</t>
  </si>
  <si>
    <r>
      <t xml:space="preserve">Ni²⁺, Fe²⁺, Mn²⁺, </t>
    </r>
    <r>
      <rPr>
        <sz val="11"/>
        <color rgb="FFFF0000"/>
        <rFont val="Calibri"/>
        <family val="2"/>
        <scheme val="minor"/>
      </rPr>
      <t>Co²⁺, Zn²</t>
    </r>
  </si>
  <si>
    <t>N. benthamiana</t>
  </si>
  <si>
    <r>
      <t>Mn2+(100%), Fe2+( 35%), Ni2+( 15%), Ca2+( 15%), Fe3+( 10%), Co2+( 10%), </t>
    </r>
    <r>
      <rPr>
        <sz val="11"/>
        <color rgb="FFFF0000"/>
        <rFont val="Calibri"/>
        <family val="2"/>
        <scheme val="minor"/>
      </rPr>
      <t>Ag+(0%)</t>
    </r>
  </si>
  <si>
    <t>Km=10±3 μM  (DMAPP), 40±20 μM ( Umbelliferone)</t>
  </si>
  <si>
    <t>28∘C</t>
  </si>
  <si>
    <t>(Han et al., 2025)</t>
  </si>
  <si>
    <t>CjPT1</t>
  </si>
  <si>
    <t>PjPT1</t>
  </si>
  <si>
    <t>Peucedanum japonicum</t>
  </si>
  <si>
    <t>Angelica decursiva</t>
  </si>
  <si>
    <t>Cnidium japonicum</t>
  </si>
  <si>
    <t>AfPT1</t>
  </si>
  <si>
    <t>PjPT2</t>
  </si>
  <si>
    <t>Angelica furcijuga</t>
  </si>
  <si>
    <t>Pimpinella diversifolia</t>
  </si>
  <si>
    <t>PdPT1</t>
  </si>
  <si>
    <t>9, 5</t>
  </si>
  <si>
    <t>8 ,5</t>
  </si>
  <si>
    <t>9 ,5</t>
  </si>
  <si>
    <t>PpPT1</t>
  </si>
  <si>
    <t>PpPT2</t>
  </si>
  <si>
    <t>PpPT3</t>
  </si>
  <si>
    <t>Peucedanum praeruptorum</t>
  </si>
  <si>
    <t>Xanthotoxol, Bergaptol, 7-Methoxycoumarin (Herniarin), 6,7-Dihydroxycoumarin (Esculetin), 5,7-Dihydroxycoumarin, 4-Hydroxycoumarin, 4-Methylumbelliferone</t>
  </si>
  <si>
    <r>
      <t xml:space="preserve">Mn2+ [110%], Fe2+ [37%], Ca2+ [13%], Ni2+ [13%], Fe3+ [10%], Co2+ [9%], </t>
    </r>
    <r>
      <rPr>
        <sz val="11"/>
        <color rgb="FFFF0000"/>
        <rFont val="Calibri"/>
        <family val="2"/>
        <scheme val="minor"/>
      </rPr>
      <t>Ag+ , Zn2+</t>
    </r>
  </si>
  <si>
    <t>Osthenol + demthlysuberosine</t>
  </si>
  <si>
    <t>7 ,5</t>
  </si>
  <si>
    <t>(Zhao et al., 2024)</t>
  </si>
  <si>
    <t>https://doi.org/10.1016/j.apsb.2023.10.016</t>
  </si>
  <si>
    <t>CtPT1</t>
  </si>
  <si>
    <t>Clematis terniflora</t>
  </si>
  <si>
    <t>Ranunculaceae</t>
  </si>
  <si>
    <t>Chen (2019)</t>
  </si>
  <si>
    <t>n.a (chinese master thesis)</t>
  </si>
  <si>
    <t>ClPT3</t>
  </si>
  <si>
    <t>Clausena lansium</t>
  </si>
  <si>
    <t>Liu, 2023</t>
  </si>
  <si>
    <t>EsPT2</t>
  </si>
  <si>
    <t>Epimedium sagittatum</t>
  </si>
  <si>
    <t xml:space="preserve">kaempferide, naringenin, </t>
  </si>
  <si>
    <t>kaempferol</t>
  </si>
  <si>
    <t>14.07±0.4</t>
  </si>
  <si>
    <t>8-8, 5</t>
  </si>
  <si>
    <t>24-27</t>
  </si>
  <si>
    <t>(Wang et al., 2021)</t>
  </si>
  <si>
    <t>https://doi.org/10.1016/j.scib.2021.03.002.</t>
  </si>
  <si>
    <t>Ni6PT1</t>
  </si>
  <si>
    <t>Ni6PT2</t>
  </si>
  <si>
    <t>Notopterygium incisum</t>
  </si>
  <si>
    <t>E.coli, N. benthamiana</t>
  </si>
  <si>
    <t>7, 5</t>
  </si>
  <si>
    <t>(Li et al., 2024)</t>
  </si>
  <si>
    <t>https://doi.org/10.1016/j.apsb.2024.04.005</t>
  </si>
  <si>
    <t>FcPT1a/b</t>
  </si>
  <si>
    <t>CsPT3</t>
  </si>
  <si>
    <t>CsPT4</t>
  </si>
  <si>
    <t>CsPT8</t>
  </si>
  <si>
    <t>chrysoeriol, and luteolin</t>
  </si>
  <si>
    <t>apigenin</t>
  </si>
  <si>
    <t>IPP, GPP</t>
  </si>
  <si>
    <t>prenylapigenin</t>
  </si>
  <si>
    <t>Cannaflavin A with DMAPP and B with GPP</t>
  </si>
  <si>
    <t xml:space="preserve">chrysoeriol, </t>
  </si>
  <si>
    <r>
      <rPr>
        <sz val="11"/>
        <rFont val="Calibri"/>
        <family val="2"/>
        <scheme val="minor"/>
      </rPr>
      <t>apigenin</t>
    </r>
    <r>
      <rPr>
        <sz val="11"/>
        <color rgb="FFFF0000"/>
        <rFont val="Calibri"/>
        <family val="2"/>
        <scheme val="minor"/>
      </rPr>
      <t>, Luteolin</t>
    </r>
  </si>
  <si>
    <t>(Rea et al., 2019)</t>
  </si>
  <si>
    <t>Apigenin (DMAPP Km: 141.7±15.6 μM , GPP Km: 49.4±11.4 μM ), Chrysoeriol (DMAPP Km: 37.9±5.59 μM , GPP Km: 35.6±10.7 μM )</t>
  </si>
  <si>
    <t>https://doi.org/10.1016/j.phytochem.2019.05.009</t>
  </si>
  <si>
    <t>Cannabigeorlic aicd</t>
  </si>
  <si>
    <t>6.73 ± 0.26 μM</t>
  </si>
  <si>
    <t>(Luo et al., 2019)</t>
  </si>
  <si>
    <t>HuPT1</t>
  </si>
  <si>
    <t>HuPT2</t>
  </si>
  <si>
    <t>HuPT3</t>
  </si>
  <si>
    <t>Helichrysum umbraculigerum</t>
  </si>
  <si>
    <t>Asteraceae</t>
  </si>
  <si>
    <t>HuCBGAS4(Hu-PT4)</t>
  </si>
  <si>
    <t>Divarinolic acid,Olivetolic acid</t>
  </si>
  <si>
    <t>Divarinolic acid,Olivetolic acid,Dihydrostilbenic acid</t>
  </si>
  <si>
    <t>IPP, GPP, FPP</t>
  </si>
  <si>
    <t>IPP, FPP</t>
  </si>
  <si>
    <t>Dihydrostilbenic acid, naringenin chalcone, pinocembrin chalcone</t>
  </si>
  <si>
    <t>naringenin chalcone, pinocembrin chalcone</t>
  </si>
  <si>
    <t>.</t>
  </si>
  <si>
    <t>C-3</t>
  </si>
  <si>
    <t>19.0±6.3</t>
  </si>
  <si>
    <t>109.9±44.3 μM</t>
  </si>
  <si>
    <t>2.0±0.8 μM</t>
  </si>
  <si>
    <t>(Berman et al., 2023)</t>
  </si>
  <si>
    <t>https://doi.org/10.1038/s41477-023-01402-3</t>
  </si>
  <si>
    <t>Alkylated benzoic acid</t>
  </si>
  <si>
    <t>Alkylated hyroquinone</t>
  </si>
  <si>
    <t>Phthalide intermediate (methyl orsellinic acid lactone)</t>
  </si>
  <si>
    <t>FtaB</t>
  </si>
  <si>
    <t>Talaromyces variabilis H1</t>
  </si>
  <si>
    <t>diketopiperazine</t>
  </si>
  <si>
    <t>indole diketopiperazine</t>
  </si>
  <si>
    <t>(Yan and Matsuda, 2021)</t>
  </si>
  <si>
    <t>Farensylated peptide</t>
  </si>
  <si>
    <t xml:space="preserve"> panE</t>
  </si>
  <si>
    <t>Panus rudis</t>
  </si>
  <si>
    <t xml:space="preserve">hyrdoquinone
</t>
  </si>
  <si>
    <t>hydroquinone</t>
  </si>
  <si>
    <t>2-prenylhydroquinone</t>
  </si>
  <si>
    <t>(Yang et al., 2023)</t>
  </si>
  <si>
    <t>https://doi.org/10.1002/anie.202313817</t>
  </si>
  <si>
    <t>BisJ</t>
  </si>
  <si>
    <t>Biscogniauxia sp.</t>
  </si>
  <si>
    <t>Aspergillus oryzae NSAR1</t>
  </si>
  <si>
    <t>4-hydroxy-3-prenylbenzoic acid</t>
  </si>
  <si>
    <t>(Lv et al., 2020)</t>
  </si>
  <si>
    <t>https://doi.org/10.1002/anie.202004364</t>
  </si>
  <si>
    <t>PesD</t>
  </si>
  <si>
    <t>Pestalotiopsis humus</t>
  </si>
  <si>
    <t>Aspergillus oryzae NSAR2</t>
  </si>
  <si>
    <t>4-hydroxy-3-farnesylbenzoic acid</t>
  </si>
  <si>
    <t>OlcH</t>
  </si>
  <si>
    <t>Pyripyropene</t>
  </si>
  <si>
    <t>Penicillium canescens</t>
  </si>
  <si>
    <t>hydroxy-6-(3-pyridinyl)-2H-pyran-2-one (HPPO)</t>
  </si>
  <si>
    <t>3-Geranylgeranyl-HPPO</t>
  </si>
  <si>
    <t>(Yaegashi et al., 2015)</t>
  </si>
  <si>
    <t>https://doi.org/10.1039/c5sc01965f</t>
  </si>
  <si>
    <t>yanG</t>
  </si>
  <si>
    <t>Cyclohexanone</t>
  </si>
  <si>
    <t>Toluquinol epoxide tautomer</t>
  </si>
  <si>
    <t>Aspergillus niger</t>
  </si>
  <si>
    <t>7-deacetoxyyanuthone A</t>
  </si>
  <si>
    <t xml:space="preserve">(Holm et al., 2014) </t>
  </si>
  <si>
    <t>https://doi.org/10.1016/j.chembiol.2014.01.013</t>
  </si>
  <si>
    <t>PgMpaA</t>
  </si>
  <si>
    <t>Penicillium griseofulvum</t>
  </si>
  <si>
    <t>5,7-dihydroxy-4-methylphthalide (DHMP)</t>
  </si>
  <si>
    <t>GPP (less turnover rate)</t>
  </si>
  <si>
    <t>Mg 2+</t>
  </si>
  <si>
    <t>6-farnesyl-5,7-dihydroxy-4-methylphthalide (FDHMP)</t>
  </si>
  <si>
    <t>(Chen et al., 2019)</t>
  </si>
  <si>
    <t>https://doi.org/10.1016/j.apsb.2019.06.009</t>
  </si>
  <si>
    <t>CdnC</t>
  </si>
  <si>
    <r>
      <t xml:space="preserve">scytalone, 2-hydroxyscytalone, 4-hydroxytetralone, 2,4-dihydroxybenzaldehyde, 2,4-dihydroxy-3-methylbenzaldehyde, 4-hydroxybenzaldehyde, 2-hydroxy-4-methoxybenzaldehyde, resacetophenone, 3-acetylcatechol, (E)-1-(2,4-dihydroxy-3,6-dimethylphenyl)hexa-2,4-dien-1-one, β-resorcylic acid (3,5-dihydroxybenzoic acid), benzoic acid, 4-hydroxybenzoic acid, protocatechuic acid, 4-formylbenzoic acid, 3-bromo-4,5-dihydroxybenzoic acid, methyl 3-bromo-4,5-dihydroxybenzoate. 
</t>
    </r>
    <r>
      <rPr>
        <sz val="11"/>
        <color rgb="FFFF0000"/>
        <rFont val="Calibri"/>
        <family val="2"/>
        <scheme val="minor"/>
      </rPr>
      <t>Resorcinol, phloroglucinol, orcinol, hydroxytyrosol, (4S)-4,8-dihydroxytetralone (compound 16), emodin, aloe-emodin, cladofulvin derivative, 1-acetyl-3,8-dihydroxy-6-methyl-9H-xanthen-9-one, methyl 3,8-dihydroxy-6-methyl-9-oxo-9H-xanthene-1-carboxylate, pinselin, chrodrimanin C</t>
    </r>
  </si>
  <si>
    <t>Penicillium funiculosum</t>
  </si>
  <si>
    <t>5-farnesyl-6-hydroxymellein</t>
  </si>
  <si>
    <t>Km=15.52 μM</t>
  </si>
  <si>
    <t>(Zhang et al., 2022)</t>
  </si>
  <si>
    <t>https://doi.org/10.1021/acs.orglett.2c00495</t>
  </si>
  <si>
    <t xml:space="preserve"> 6-hydroxymellein</t>
  </si>
  <si>
    <t>Cdmh</t>
  </si>
  <si>
    <t>Penicillium verruculosum</t>
  </si>
  <si>
    <t>Verruculide C  ( 5-farnesyl-6-hydroxymellein).</t>
  </si>
  <si>
    <t>(Bai et al., 2018)</t>
  </si>
  <si>
    <t>https://doi.org/10.1021/acs.orglett.8b03268</t>
  </si>
  <si>
    <t>DpasC</t>
  </si>
  <si>
    <t>DpmaC</t>
  </si>
  <si>
    <t>SubC</t>
  </si>
  <si>
    <t>DpmpC</t>
  </si>
  <si>
    <t>DpfgC</t>
  </si>
  <si>
    <t>Arthrinium sacchari</t>
  </si>
  <si>
    <t>Metarhizium anisopliae</t>
  </si>
  <si>
    <t>Metarhizium robertsii</t>
  </si>
  <si>
    <t>Macrophomina phaseolina</t>
  </si>
  <si>
    <t>Fusarium graminearum</t>
  </si>
  <si>
    <t>Benzopyranone</t>
  </si>
  <si>
    <t>Pyranone</t>
  </si>
  <si>
    <t>4-hydroxy-5,6-dimethyl-2H-pyran-2-one</t>
  </si>
  <si>
    <t>3-geranylgeranyl-4-hydroxy-5,6-dimethyl-2H-pyran-2-one</t>
  </si>
  <si>
    <t>(Tsukada et al., 2020)</t>
  </si>
  <si>
    <t>https://doi.org/10.1038/s41467-020-15664-4</t>
  </si>
  <si>
    <t>AdrG</t>
  </si>
  <si>
    <t>Penicillium chrysogenum</t>
  </si>
  <si>
    <t>5-farnesyl-3,5-dimethylorsellinic acid</t>
  </si>
  <si>
    <t>(Matsuda et al., 2013)</t>
  </si>
  <si>
    <t>https://doi.org/10.1016/j.tet.2013.07.029</t>
  </si>
  <si>
    <t>NvfB</t>
  </si>
  <si>
    <t>Aspergillus novofumigatus</t>
  </si>
  <si>
    <t xml:space="preserve"> (Matsuda et al., 2018)</t>
  </si>
  <si>
    <t>https://doi.org/10.1038/s41467-018-04983-2</t>
  </si>
  <si>
    <t>pkfE</t>
  </si>
  <si>
    <t>orsellinaldehyde</t>
  </si>
  <si>
    <t>(Yaegashi et al., 2013)</t>
  </si>
  <si>
    <t>https://doi.org/10.1021/ol401187b</t>
  </si>
  <si>
    <t>aspernidine A (3-O-farensyl-orsellinaldehyde)</t>
  </si>
  <si>
    <t xml:space="preserve">AndD </t>
  </si>
  <si>
    <t>Emericella variecolor</t>
  </si>
  <si>
    <t>(Matsuda et al., 2014)</t>
  </si>
  <si>
    <t>https://doi.org/10.1021/ja508127q</t>
  </si>
  <si>
    <t>CosA</t>
  </si>
  <si>
    <t>(Yuan et al., 2023)</t>
  </si>
  <si>
    <t>mannitol-1-phosphate</t>
  </si>
  <si>
    <t>Fusarium orthoceras</t>
  </si>
  <si>
    <t>A. nidulans</t>
  </si>
  <si>
    <t>farensylated  mannitol-1-phosphate</t>
  </si>
  <si>
    <t>https://doi.org/10.1002/anie.202308887</t>
  </si>
  <si>
    <t>AtUbiA3</t>
  </si>
  <si>
    <t>mannitol</t>
  </si>
  <si>
    <t>(Chu et al., 2026)</t>
  </si>
  <si>
    <t>https://doi.org/10.1021/acs.jnatprod.6c00020</t>
  </si>
  <si>
    <t>butyrolactone I</t>
  </si>
  <si>
    <t>Butyrolactone II</t>
  </si>
  <si>
    <t xml:space="preserve">Atyb </t>
  </si>
  <si>
    <t>Aspergillus sp. PSU-RSPG18</t>
  </si>
  <si>
    <t>(Wang et al., 2025)</t>
  </si>
  <si>
    <t>https://doi.org/10.1021/jacs.5c10778</t>
  </si>
  <si>
    <t>Hohenbuehelia grisea</t>
  </si>
  <si>
    <t xml:space="preserve">HGRIS_000139 </t>
  </si>
  <si>
    <t>3-farnesyl-4-hydroxybenzoic acid</t>
  </si>
  <si>
    <t>(Weaver et al., 2024)</t>
  </si>
  <si>
    <t>https://doi.org/10.1021/acschembio.4c00599</t>
  </si>
  <si>
    <t>PrhE</t>
  </si>
  <si>
    <r>
      <t>Penicillium brasilianum</t>
    </r>
    <r>
      <rPr>
        <sz val="11"/>
        <color theme="1"/>
        <rFont val="Calibri"/>
        <family val="2"/>
        <scheme val="minor"/>
      </rPr>
      <t xml:space="preserve"> NBRC 6234</t>
    </r>
  </si>
  <si>
    <t>Matsuda et al., 2016)</t>
  </si>
  <si>
    <t>https://doi.org/10.1021/jacs.6b08424</t>
  </si>
  <si>
    <t xml:space="preserve">Cle5 </t>
  </si>
  <si>
    <r>
      <t>Aspergillus versicolor</t>
    </r>
    <r>
      <rPr>
        <sz val="11"/>
        <color theme="1"/>
        <rFont val="Calibri"/>
        <family val="2"/>
        <scheme val="minor"/>
      </rPr>
      <t xml:space="preserve"> 0312</t>
    </r>
  </si>
  <si>
    <t>triacetic acid lactone (TAL)</t>
  </si>
  <si>
    <t>3 geranylgeranyl- triacetic acid lactone</t>
  </si>
  <si>
    <t>(Wang et al., 2019)</t>
  </si>
  <si>
    <t>https://doi.org/10.1039/c8qo01124a</t>
  </si>
  <si>
    <t>Mosc</t>
  </si>
  <si>
    <r>
      <t>Neoarthrinium moseri</t>
    </r>
    <r>
      <rPr>
        <sz val="11"/>
        <color theme="1"/>
        <rFont val="Calibri"/>
        <family val="2"/>
        <scheme val="minor"/>
      </rPr>
      <t xml:space="preserve"> CBS 164.80</t>
    </r>
  </si>
  <si>
    <t>(Tang and Matsuda, 2024)</t>
  </si>
  <si>
    <t>https://doi.org/10.1038/s41467-024-48771-7</t>
  </si>
  <si>
    <t>(Wang et al., 2026)</t>
  </si>
  <si>
    <t>Boreostereum vibrans</t>
  </si>
  <si>
    <t>Stereum hirsutum</t>
  </si>
  <si>
    <t>4-hydroxybenzaldehyde,  4-hydroxybenzylalcohol (less conversion)</t>
  </si>
  <si>
    <t>4-hydroxybenzaldehyde,  4-hydroxybenzylalcohol  (less conversion)</t>
  </si>
  <si>
    <t>GPP, FPP, GGPP</t>
  </si>
  <si>
    <t>VibP1/VibP2</t>
  </si>
  <si>
    <r>
      <t>ShPT1/</t>
    </r>
    <r>
      <rPr>
        <sz val="11"/>
        <color theme="1"/>
        <rFont val="Calibri"/>
        <family val="2"/>
        <scheme val="minor"/>
      </rPr>
      <t>ShPT2</t>
    </r>
  </si>
  <si>
    <t>GmUbiA</t>
  </si>
  <si>
    <t>AvUbiA</t>
  </si>
  <si>
    <t>Gautieria morchelliformis</t>
  </si>
  <si>
    <t>Auriscalpium vulgare</t>
  </si>
  <si>
    <t>(Feng et al., 2023)</t>
  </si>
  <si>
    <t>https://doi.org/10.1038/s41467-023-39108-x</t>
  </si>
  <si>
    <t>Brassicaceae</t>
  </si>
  <si>
    <t>alkylated benzoic acid</t>
  </si>
  <si>
    <t>Cannabaceae</t>
  </si>
  <si>
    <t>Poaceae</t>
  </si>
  <si>
    <t>1-(2,3,5-trihydroxyphenyl)-2,4-dimethylhexan-3-one</t>
  </si>
  <si>
    <t>1-(4-farnesyl-2,3,5-trihydroxyphenyl)-2,4-dimethylhexan-3-one</t>
  </si>
  <si>
    <t xml:space="preserve">https://doi.org/10.1016/j.indcrop.2023.116814. </t>
  </si>
  <si>
    <t>AdePT1</t>
  </si>
  <si>
    <t>AdePT2</t>
  </si>
  <si>
    <t>29.36±4.05 µM</t>
  </si>
  <si>
    <t>C8 (reverse geranylation)</t>
  </si>
  <si>
    <t>C4'</t>
  </si>
  <si>
    <t>C2'</t>
  </si>
  <si>
    <t>C7</t>
  </si>
  <si>
    <t>C7, C4</t>
  </si>
  <si>
    <t>C6, C8</t>
  </si>
  <si>
    <t>O8</t>
  </si>
  <si>
    <t>C13</t>
  </si>
  <si>
    <t>O3</t>
  </si>
  <si>
    <t>SptD</t>
  </si>
  <si>
    <t>Aspergillus sp. TJ23</t>
  </si>
  <si>
    <t>6,7-dihydroxy-2,4-dimethoxy phenanthrene</t>
  </si>
  <si>
    <t>(Bai et al., 2020)</t>
  </si>
  <si>
    <t>https://doi.org/10.1021/acs.orglett.0c01358</t>
  </si>
  <si>
    <t>TcrI</t>
  </si>
  <si>
    <t>Trichothecium crotocinigenum LC36</t>
  </si>
  <si>
    <t>Phenanthrene</t>
  </si>
  <si>
    <t>2-methoxyhydroquinone</t>
  </si>
  <si>
    <t>5-farnesyl-2-methoxyhydroquinone</t>
  </si>
  <si>
    <t>https://doi.org/10.1021/acs.orglett.6c02165</t>
  </si>
  <si>
    <t>GgPT1</t>
  </si>
  <si>
    <t>GgPT4</t>
  </si>
  <si>
    <t>Glycyrrhiza glabra</t>
  </si>
  <si>
    <t>medicarpin</t>
  </si>
  <si>
    <t>vestitol</t>
  </si>
  <si>
    <t>Licoagrocarpin</t>
  </si>
  <si>
    <t>4'-O-methylpreglabridin</t>
  </si>
  <si>
    <t>8,8</t>
  </si>
  <si>
    <t>(Xu et al., 2026)</t>
  </si>
  <si>
    <t>https://doi.org/10.1016/j.indcrop.2026.123718</t>
  </si>
  <si>
    <t>GinPT1</t>
  </si>
  <si>
    <t>GinPT2</t>
  </si>
  <si>
    <t>GinPT3</t>
  </si>
  <si>
    <t>GinPT4</t>
  </si>
  <si>
    <t>GinPT5</t>
  </si>
  <si>
    <t>GinPT6</t>
  </si>
  <si>
    <t>Glycyrrhiza inflata</t>
  </si>
  <si>
    <t>Isoliquiritigenin (83.30%),</t>
  </si>
  <si>
    <r>
      <t>Apigenin (18.82%), Echinatin (13.12%)</t>
    </r>
    <r>
      <rPr>
        <sz val="11"/>
        <color rgb="FFFF0000"/>
        <rFont val="Calibri"/>
        <family val="2"/>
        <scheme val="minor"/>
      </rPr>
      <t>, 2'-hydroxygenistein (8.51%), Luteolin (6.30%), Genistein (4.91%),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3-deoxysappanchalcone (0.45%)
Daidzein, kumatakenin B, kaempferol, kaempferol-3-O-methyl ether</t>
    </r>
  </si>
  <si>
    <t>Isoliquiritigenin (65.00%)</t>
  </si>
  <si>
    <t>2'-hydroxygenistein (21.65%),</t>
  </si>
  <si>
    <r>
      <t xml:space="preserve">Echinatin (32.00%), </t>
    </r>
    <r>
      <rPr>
        <sz val="11"/>
        <color rgb="FFFF0000"/>
        <rFont val="Calibri"/>
        <family val="2"/>
        <scheme val="minor"/>
      </rPr>
      <t>3-deoxysappanchalcone (3.45%), Genistein, 2'-hydroxygenistein, daidzein, apigenin, kumatakenin B, luteolin, kaempferol, kaempferol-3-O-methyl ether</t>
    </r>
  </si>
  <si>
    <r>
      <t xml:space="preserve"> Genistein (11.20%), </t>
    </r>
    <r>
      <rPr>
        <sz val="11"/>
        <color rgb="FFFF0000"/>
        <rFont val="Calibri"/>
        <family val="2"/>
        <scheme val="minor"/>
      </rPr>
      <t>Isoliquiritigenin (5.98%), Daidzein (2.51%), Echinatin, 3-deoxysappanchalcone, apigenin, kumatakenin B, luteolin, kaempferol, kaempferol-3-O-methyl ether</t>
    </r>
  </si>
  <si>
    <t xml:space="preserve">Isoliquiritigenin (29.11%), </t>
  </si>
  <si>
    <r>
      <rPr>
        <sz val="11"/>
        <rFont val="Calibri"/>
        <family val="2"/>
        <scheme val="minor"/>
      </rPr>
      <t xml:space="preserve"> Echinatin (24.98%</t>
    </r>
    <r>
      <rPr>
        <sz val="11"/>
        <color rgb="FFFF0000"/>
        <rFont val="Calibri"/>
        <family val="2"/>
        <scheme val="minor"/>
      </rPr>
      <t>), 3-deoxysappanchalcone (7.48%), Genistein, 2'-hydroxygenistein, daidzein, apigenin, kumatakenin B, luteolin, kaempferol, kaempferol-3-O-methyl ether</t>
    </r>
  </si>
  <si>
    <t xml:space="preserve">Apigenin (59.20%), </t>
  </si>
  <si>
    <t>Luteolin (8.04%), Isoliquiritigenin (7.84%), Echinatin, 3-deoxysappanchalcone, genistein, 2'-hydroxygenistein, daidzein, kumatakenin B, kaempferol, kaempferol-3-O-methyl ether</t>
  </si>
  <si>
    <t xml:space="preserve">Kumatakenin B (20.09%), </t>
  </si>
  <si>
    <r>
      <t xml:space="preserve">Apigenin (11.00%), </t>
    </r>
    <r>
      <rPr>
        <sz val="11"/>
        <color rgb="FFFF0000"/>
        <rFont val="Calibri"/>
        <family val="2"/>
        <scheme val="minor"/>
      </rPr>
      <t>Kaempferol-3-O-methyl ether (7.90%), Kaempferol (5.22%), Echinatin, isoliquiritigenin, 3-deoxysappanchalcone, genistein, 2'-hydroxygenistein, daidzein, luteolin</t>
    </r>
  </si>
  <si>
    <t>DMAPP (also GPP with lower activity)</t>
  </si>
  <si>
    <t>FPP, GGPP</t>
  </si>
  <si>
    <t>6-prenylapigenin (from apigenin), wighteone (from genistein),
corresponding 6-C-prenylated products for other accepted 
chalcones, isoflavones, and flavones.</t>
  </si>
  <si>
    <t>3'-prenylechinatin (from echinatin) and corresponding
 6-C-prenylated chalcones.</t>
  </si>
  <si>
    <t>Licochalcone C (from echinatin) and corresponding 
3'-C-prenylated chalcones.</t>
  </si>
  <si>
    <t>Licoisoflavone A (from 2'-hydroxygenistein) and corresponding
 3'-C-prenylated isoflavones.</t>
  </si>
  <si>
    <t>6-prenylapigenin (from apigenin) and corresponding 6-C
-prenylated flavonoids.</t>
  </si>
  <si>
    <t>Isolicoflavonol (from kaempferol), 5,7,4'-trihydroxy-
3'(3-methylbut-2-enyl)-3-methoxy flavone (from kaempferol-3-
O-methyl ether), and corresponding 3'-C-prenylated flavones 
and flavonols.</t>
  </si>
  <si>
    <t>(Ye et al., 2026)</t>
  </si>
  <si>
    <t>https://doi.org/10.1021/acscatal.6c00459</t>
  </si>
  <si>
    <r>
      <t xml:space="preserve">Ca2+
Fe2+
Co2+
Ba2+
Mn2+
Al3+ </t>
    </r>
    <r>
      <rPr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
Cu2+
Ti4+
K+ </t>
    </r>
    <r>
      <rPr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
Li+ </t>
    </r>
    <r>
      <rPr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
Na+ </t>
    </r>
    <r>
      <rPr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
Ni2+
</t>
    </r>
    <r>
      <rPr>
        <sz val="11"/>
        <color rgb="FFFF0000"/>
        <rFont val="Calibri"/>
        <family val="2"/>
        <scheme val="minor"/>
      </rPr>
      <t>Hg2+
Zn2+
Fe3+
**</t>
    </r>
    <r>
      <rPr>
        <sz val="11"/>
        <color theme="1"/>
        <rFont val="Calibri"/>
        <family val="2"/>
        <scheme val="minor"/>
      </rPr>
      <t xml:space="preserve"> When genistein was used as substrate no catalytic activity was found with tاese metal ions
Fe2+
Co2+
Mg2+
</t>
    </r>
  </si>
  <si>
    <t>Mg2+
Mn2+</t>
  </si>
  <si>
    <t>6-prenylgenistein
5-prenyl-6-dihydroxyflavone
5-prenyl-2',6-dihydroxyflavone
5-prenyl-3',6-dihydroxyflavone
5-prenyl-4',6-dihydroxyflavone</t>
  </si>
  <si>
    <t>C3'
C3'
C6
C5</t>
  </si>
  <si>
    <t>2',4'-dihydroxychalcone: 69.33 µM
2',4,4'-trihydroxychalcone: 8.58 µM
Genistein: 9.42 µM
6-hydroxyflavone: 42.68 µM</t>
  </si>
  <si>
    <t>8.5 with 2',4,4'-trihydroxychalcone
8.0 with geinistein
9.5 with 6-hydroxyflavone</t>
  </si>
  <si>
    <t xml:space="preserve">2',4,4'-trihydroxychalcone
Genistein
6-hydroxyflavone
</t>
  </si>
  <si>
    <r>
      <rPr>
        <sz val="11"/>
        <rFont val="Calibri"/>
        <family val="2"/>
        <scheme val="minor"/>
      </rPr>
      <t>2',4'-dihydroxychalcone</t>
    </r>
    <r>
      <rPr>
        <sz val="11"/>
        <color rgb="FFFF0000"/>
        <rFont val="Calibri"/>
        <family val="2"/>
        <scheme val="minor"/>
      </rPr>
      <t xml:space="preserve">
6-hydroxyflavone
2',6-dihydroxyflavone
3',6-dihydroxyflavone
4',6-dihydroxyflavone
5,6-dihydroxyflavone
6,7-diydroxyflavone
5,6,7-trihydroxyflavone
Flavone
3-hydroxyflavone
3,6-dihydroxyflavone
Kaempferol
Fistein
</t>
    </r>
    <r>
      <rPr>
        <sz val="11"/>
        <rFont val="Calibri"/>
        <family val="2"/>
        <scheme val="minor"/>
      </rPr>
      <t xml:space="preserve">2',6-dihydroxyflavone
3',6-dihydroxyflavone
4',6-dihydroxyflavone
</t>
    </r>
    <r>
      <rPr>
        <sz val="11"/>
        <color rgb="FFFF0000"/>
        <rFont val="Calibri"/>
        <family val="2"/>
        <scheme val="minor"/>
      </rPr>
      <t>Apigenin
Chrysin</t>
    </r>
  </si>
  <si>
    <t>Rubiaceae</t>
  </si>
  <si>
    <t>Hypericum sampsonii</t>
  </si>
  <si>
    <t>C3 or C4 for naphthoic acid 
adjacent to 4-hydroxgroup for benzoic acid</t>
  </si>
  <si>
    <t>Trichocomaceae</t>
  </si>
  <si>
    <t>Hygrophoraceae</t>
  </si>
  <si>
    <t>Aspergillaceae</t>
  </si>
  <si>
    <t>Bionectriaceae</t>
  </si>
  <si>
    <t>Stachybotryaceae</t>
  </si>
  <si>
    <t>Glomerellaceae</t>
  </si>
  <si>
    <t>Apiosporaceae</t>
  </si>
  <si>
    <t>Nectriaceae</t>
  </si>
  <si>
    <t>Schizosaccharomycetaceae</t>
  </si>
  <si>
    <t>Hericiaceae</t>
  </si>
  <si>
    <t>Laetiporaceae</t>
  </si>
  <si>
    <t xml:space="preserve">Polyporaceae </t>
  </si>
  <si>
    <t>Graphostromataceae</t>
  </si>
  <si>
    <t>Sporocadaceae</t>
  </si>
  <si>
    <t>Clavicipitaceae</t>
  </si>
  <si>
    <t>Botryosphaeriaceae</t>
  </si>
  <si>
    <t xml:space="preserve">Aspergillaceae </t>
  </si>
  <si>
    <t>Pleurotaceae</t>
  </si>
  <si>
    <t xml:space="preserve">Neoarthriniaceae </t>
  </si>
  <si>
    <t xml:space="preserve">Boreostereaceae </t>
  </si>
  <si>
    <t>Stereaceae</t>
  </si>
  <si>
    <t xml:space="preserve">Gomphaceae </t>
  </si>
  <si>
    <t>Auriscalpiaceae</t>
  </si>
  <si>
    <t>Myrotheciomycetaceae</t>
  </si>
  <si>
    <t>coumarin</t>
  </si>
  <si>
    <t xml:space="preserve">Flavonoid </t>
  </si>
  <si>
    <t>lactones</t>
  </si>
  <si>
    <t>naphthalene</t>
  </si>
  <si>
    <t xml:space="preserve">Pyripyropene </t>
  </si>
  <si>
    <t>Acceptor class</t>
  </si>
  <si>
    <t>HpPT1</t>
  </si>
  <si>
    <t>HpPT2</t>
  </si>
  <si>
    <t>HpPT3</t>
  </si>
  <si>
    <t>HpPT4</t>
  </si>
  <si>
    <t>Translucin I (geranyl-phlorisobutyrophenone)</t>
  </si>
  <si>
    <t>Translucin II (prenyl-geranyl-phlorisobutyrophenone)</t>
  </si>
  <si>
    <t>Translucin III (diprenyl-geranyl-phlorisobutyrophenone)</t>
  </si>
  <si>
    <t>GGPP, PDP</t>
  </si>
  <si>
    <t>GPP, this enzyme has a broad 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</si>
</sst>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/>
  </cellStyleXfs>
  <cellXfs count="51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/>
    <xf numFmtId="0" fontId="4" fillId="0" borderId="0" xfId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4" fillId="0" borderId="0" xfId="1" applyFill="1"/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4" fillId="0" borderId="0" xfId="1" applyFill="1" applyAlignment="1">
      <alignment vertical="top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16" fontId="0" fillId="2" borderId="0" xfId="0" applyNumberFormat="1" applyFill="1" applyAlignment="1">
      <alignment horizontal="left" vertical="top"/>
    </xf>
    <xf numFmtId="0" fontId="4" fillId="2" borderId="0" xfId="1" applyFill="1" applyAlignment="1">
      <alignment horizontal="left" vertical="top"/>
    </xf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wrapText="1"/>
    </xf>
    <xf numFmtId="0" fontId="0" fillId="2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4" fillId="3" borderId="0" xfId="1" applyFill="1" applyAlignment="1">
      <alignment horizontal="left" vertical="top"/>
    </xf>
    <xf numFmtId="0" fontId="0" fillId="3" borderId="0" xfId="0" applyFill="1"/>
    <xf numFmtId="0" fontId="3" fillId="3" borderId="0" xfId="0" applyFont="1" applyFill="1" applyAlignment="1">
      <alignment horizontal="left" vertical="top" wrapText="1"/>
    </xf>
    <xf numFmtId="0" fontId="0" fillId="3" borderId="0" xfId="0" applyFill="1" applyAlignment="1">
      <alignment vertical="top" wrapText="1"/>
    </xf>
    <xf numFmtId="0" fontId="8" fillId="3" borderId="0" xfId="0" applyFont="1" applyFill="1" applyAlignment="1">
      <alignment horizontal="left" vertical="top"/>
    </xf>
    <xf numFmtId="0" fontId="4" fillId="0" borderId="0" xfId="1" applyAlignment="1">
      <alignment horizontal="left" vertical="top"/>
    </xf>
    <xf numFmtId="0" fontId="8" fillId="0" borderId="0" xfId="0" applyFont="1"/>
    <xf numFmtId="0" fontId="0" fillId="0" borderId="0" xfId="3" applyFont="1" applyAlignment="1">
      <alignment horizontal="left" vertical="top"/>
    </xf>
    <xf numFmtId="16" fontId="14" fillId="0" borderId="0" xfId="3" applyNumberFormat="1" applyAlignment="1">
      <alignment horizontal="left" vertical="top"/>
    </xf>
    <xf numFmtId="0" fontId="14" fillId="0" borderId="0" xfId="3"/>
    <xf numFmtId="0" fontId="14" fillId="0" borderId="0" xfId="3" applyAlignment="1">
      <alignment horizontal="left" vertical="top"/>
    </xf>
    <xf numFmtId="0" fontId="8" fillId="0" borderId="0" xfId="3" applyFont="1" applyAlignment="1">
      <alignment horizontal="left" vertical="top"/>
    </xf>
    <xf numFmtId="0" fontId="13" fillId="0" borderId="0" xfId="2" applyAlignment="1">
      <alignment vertical="center" wrapText="1"/>
    </xf>
    <xf numFmtId="0" fontId="15" fillId="0" borderId="0" xfId="2" applyFont="1" applyAlignment="1">
      <alignment vertical="center" wrapText="1"/>
    </xf>
    <xf numFmtId="0" fontId="8" fillId="0" borderId="0" xfId="2" applyFont="1" applyAlignment="1">
      <alignment vertical="center" wrapText="1"/>
    </xf>
    <xf numFmtId="0" fontId="4" fillId="0" borderId="0" xfId="1"/>
    <xf numFmtId="0" fontId="11" fillId="0" borderId="0" xfId="0" applyFont="1"/>
    <xf numFmtId="0" fontId="0" fillId="4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center" vertical="top"/>
    </xf>
    <xf numFmtId="0" fontId="18" fillId="0" borderId="0" xfId="0" applyFont="1" applyAlignment="1">
      <alignment vertical="center"/>
    </xf>
    <xf numFmtId="0" fontId="17" fillId="0" borderId="0" xfId="0" applyFont="1"/>
    <xf numFmtId="0" fontId="13" fillId="0" borderId="0" xfId="2" applyAlignment="1">
      <alignment horizontal="left" vertical="top" wrapText="1"/>
    </xf>
  </cellXfs>
  <cellStyles count="5">
    <cellStyle name="Hyperlink" xfId="1" builtinId="8"/>
    <cellStyle name="Normal" xfId="0" builtinId="0"/>
    <cellStyle name="Normal 2" xfId="3" xr:uid="{602021C7-8F45-4656-A3A4-D5A96D9FDC5F}"/>
    <cellStyle name="Standard 2" xfId="2" xr:uid="{D37EFCB5-B09D-443E-A8A6-3D262BFD6F43}"/>
    <cellStyle name="Standard 2 2" xfId="4" xr:uid="{38FFE3E8-31F0-4208-AB3C-A97861854E0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44</xdr:row>
      <xdr:rowOff>0</xdr:rowOff>
    </xdr:from>
    <xdr:to>
      <xdr:col>20</xdr:col>
      <xdr:colOff>304800</xdr:colOff>
      <xdr:row>45</xdr:row>
      <xdr:rowOff>114300</xdr:rowOff>
    </xdr:to>
    <xdr:sp macro="" textlink="">
      <xdr:nvSpPr>
        <xdr:cNvPr id="1030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B8969E-8103-47D7-AA8B-4E688CB060E0}"/>
            </a:ext>
          </a:extLst>
        </xdr:cNvPr>
        <xdr:cNvSpPr>
          <a:spLocks noChangeAspect="1" noChangeArrowheads="1"/>
        </xdr:cNvSpPr>
      </xdr:nvSpPr>
      <xdr:spPr bwMode="auto">
        <a:xfrm>
          <a:off x="393192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304800</xdr:colOff>
      <xdr:row>46</xdr:row>
      <xdr:rowOff>304800</xdr:rowOff>
    </xdr:to>
    <xdr:sp macro="" textlink="">
      <xdr:nvSpPr>
        <xdr:cNvPr id="1032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8C24C5-CC96-44E8-85FC-EE90F67DBEC6}"/>
            </a:ext>
          </a:extLst>
        </xdr:cNvPr>
        <xdr:cNvSpPr>
          <a:spLocks noChangeAspect="1" noChangeArrowheads="1"/>
        </xdr:cNvSpPr>
      </xdr:nvSpPr>
      <xdr:spPr bwMode="auto">
        <a:xfrm>
          <a:off x="393192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58</xdr:row>
      <xdr:rowOff>0</xdr:rowOff>
    </xdr:from>
    <xdr:to>
      <xdr:col>20</xdr:col>
      <xdr:colOff>304800</xdr:colOff>
      <xdr:row>59</xdr:row>
      <xdr:rowOff>112658</xdr:rowOff>
    </xdr:to>
    <xdr:sp macro="" textlink="">
      <xdr:nvSpPr>
        <xdr:cNvPr id="1036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5E6EC8-3D16-479A-88C4-3F68C3B9D3FE}"/>
            </a:ext>
          </a:extLst>
        </xdr:cNvPr>
        <xdr:cNvSpPr>
          <a:spLocks noChangeAspect="1" noChangeArrowheads="1"/>
        </xdr:cNvSpPr>
      </xdr:nvSpPr>
      <xdr:spPr bwMode="auto">
        <a:xfrm>
          <a:off x="3998595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38/s41477-023-01402-3" TargetMode="External"/><Relationship Id="rId21" Type="http://schemas.openxmlformats.org/officeDocument/2006/relationships/hyperlink" Target="https://doi.org/10.1104/pp.112.195271" TargetMode="External"/><Relationship Id="rId42" Type="http://schemas.openxmlformats.org/officeDocument/2006/relationships/hyperlink" Target="https://doi.org/10.1007/s00425-005-0180-1" TargetMode="External"/><Relationship Id="rId63" Type="http://schemas.openxmlformats.org/officeDocument/2006/relationships/hyperlink" Target="https://doi.org/10.1016/j.plaphy.2023.02.012" TargetMode="External"/><Relationship Id="rId84" Type="http://schemas.openxmlformats.org/officeDocument/2006/relationships/hyperlink" Target="https://doi.org/10.3389/fpls.2021.673337" TargetMode="External"/><Relationship Id="rId138" Type="http://schemas.openxmlformats.org/officeDocument/2006/relationships/hyperlink" Target="https://doi.org/10.1021/acs.jnatprod.6c00020" TargetMode="External"/><Relationship Id="rId159" Type="http://schemas.openxmlformats.org/officeDocument/2006/relationships/hyperlink" Target="https://doi.org/10.1021/acscatal.6c00459" TargetMode="External"/><Relationship Id="rId170" Type="http://schemas.openxmlformats.org/officeDocument/2006/relationships/drawing" Target="../drawings/drawing1.xml"/><Relationship Id="rId107" Type="http://schemas.openxmlformats.org/officeDocument/2006/relationships/hyperlink" Target="https://doi.org/10.1002/anie.202504190" TargetMode="External"/><Relationship Id="rId11" Type="http://schemas.openxmlformats.org/officeDocument/2006/relationships/hyperlink" Target="https://doi.org/10.1016/j.phytochem.2004.10.020" TargetMode="External"/><Relationship Id="rId32" Type="http://schemas.openxmlformats.org/officeDocument/2006/relationships/hyperlink" Target="https://doi.org/10.1073/pnas.1819254116" TargetMode="External"/><Relationship Id="rId53" Type="http://schemas.openxmlformats.org/officeDocument/2006/relationships/hyperlink" Target="https://doi.org/10.1002/adsc.201300196" TargetMode="External"/><Relationship Id="rId74" Type="http://schemas.openxmlformats.org/officeDocument/2006/relationships/hyperlink" Target="https://doi.org/10.1111/tpj.14083" TargetMode="External"/><Relationship Id="rId128" Type="http://schemas.openxmlformats.org/officeDocument/2006/relationships/hyperlink" Target="https://doi.org/10.1038/s41467-020-15664-4" TargetMode="External"/><Relationship Id="rId149" Type="http://schemas.openxmlformats.org/officeDocument/2006/relationships/hyperlink" Target="https://doi.org/10.1016/j.indcrop.2023.116814." TargetMode="External"/><Relationship Id="rId5" Type="http://schemas.openxmlformats.org/officeDocument/2006/relationships/hyperlink" Target="https://doi.org/10.1016/0031-9422(90)85417-E" TargetMode="External"/><Relationship Id="rId95" Type="http://schemas.openxmlformats.org/officeDocument/2006/relationships/hyperlink" Target="https://doi.org/10.1093/pcp/pcae134" TargetMode="External"/><Relationship Id="rId160" Type="http://schemas.openxmlformats.org/officeDocument/2006/relationships/hyperlink" Target="https://doi.org/10.1021/acscatal.6c00459" TargetMode="External"/><Relationship Id="rId22" Type="http://schemas.openxmlformats.org/officeDocument/2006/relationships/hyperlink" Target="https://doi.org/10.1021/acscatal.3c04085" TargetMode="External"/><Relationship Id="rId43" Type="http://schemas.openxmlformats.org/officeDocument/2006/relationships/hyperlink" Target="https://core.ac.uk/download/pdf/153832812.pdf" TargetMode="External"/><Relationship Id="rId64" Type="http://schemas.openxmlformats.org/officeDocument/2006/relationships/hyperlink" Target="https://doi.org/10.1111/tpj.12409" TargetMode="External"/><Relationship Id="rId118" Type="http://schemas.openxmlformats.org/officeDocument/2006/relationships/hyperlink" Target="https://doi.org/10.1038/s41477-023-01402-3" TargetMode="External"/><Relationship Id="rId139" Type="http://schemas.openxmlformats.org/officeDocument/2006/relationships/hyperlink" Target="https://doi.org/10.1021/jacs.5c10778" TargetMode="External"/><Relationship Id="rId85" Type="http://schemas.openxmlformats.org/officeDocument/2006/relationships/hyperlink" Target="https://doi.org/10.3389/fpls.2022.1034943" TargetMode="External"/><Relationship Id="rId150" Type="http://schemas.openxmlformats.org/officeDocument/2006/relationships/hyperlink" Target="https://doi.org/10.1016/j.indcrop.2023.116814." TargetMode="External"/><Relationship Id="rId171" Type="http://schemas.openxmlformats.org/officeDocument/2006/relationships/vmlDrawing" Target="../drawings/vmlDrawing1.vml"/><Relationship Id="rId12" Type="http://schemas.openxmlformats.org/officeDocument/2006/relationships/hyperlink" Target="https://doi.org/10.1093/plphys/kiad219" TargetMode="External"/><Relationship Id="rId33" Type="http://schemas.openxmlformats.org/officeDocument/2006/relationships/hyperlink" Target="https://doi.org/10.1016/j.ymben.2023.10.002" TargetMode="External"/><Relationship Id="rId108" Type="http://schemas.openxmlformats.org/officeDocument/2006/relationships/hyperlink" Target="https://doi.org/10.1002/anie.202504190" TargetMode="External"/><Relationship Id="rId129" Type="http://schemas.openxmlformats.org/officeDocument/2006/relationships/hyperlink" Target="https://doi.org/10.1038/s41467-020-15664-4" TargetMode="External"/><Relationship Id="rId54" Type="http://schemas.openxmlformats.org/officeDocument/2006/relationships/hyperlink" Target="https://doi.org/10.1016/j.apsb.2018.01.009" TargetMode="External"/><Relationship Id="rId70" Type="http://schemas.openxmlformats.org/officeDocument/2006/relationships/hyperlink" Target="https://doi.org/10.1111/tpj.70268" TargetMode="External"/><Relationship Id="rId75" Type="http://schemas.openxmlformats.org/officeDocument/2006/relationships/hyperlink" Target="https://dx.doi.org/10.1021/ja209809t" TargetMode="External"/><Relationship Id="rId91" Type="http://schemas.openxmlformats.org/officeDocument/2006/relationships/hyperlink" Target="https://doi.org/10.1093/pcp/pcae134" TargetMode="External"/><Relationship Id="rId96" Type="http://schemas.openxmlformats.org/officeDocument/2006/relationships/hyperlink" Target="https://doi.org/10.1016/j.phytochem.2024.114102" TargetMode="External"/><Relationship Id="rId140" Type="http://schemas.openxmlformats.org/officeDocument/2006/relationships/hyperlink" Target="https://doi.org/10.1021/acschembio.4c00599" TargetMode="External"/><Relationship Id="rId145" Type="http://schemas.openxmlformats.org/officeDocument/2006/relationships/hyperlink" Target="https://doi.org/10.1021/acscatal.3c04085" TargetMode="External"/><Relationship Id="rId161" Type="http://schemas.openxmlformats.org/officeDocument/2006/relationships/hyperlink" Target="https://doi.org/10.1021/acscatal.6c00459" TargetMode="External"/><Relationship Id="rId166" Type="http://schemas.openxmlformats.org/officeDocument/2006/relationships/hyperlink" Target="https://doi.org/10.1016/j.molp.2024.08.003" TargetMode="External"/><Relationship Id="rId1" Type="http://schemas.openxmlformats.org/officeDocument/2006/relationships/hyperlink" Target="https://doi.org/10.1042/BJ20081968" TargetMode="External"/><Relationship Id="rId6" Type="http://schemas.openxmlformats.org/officeDocument/2006/relationships/hyperlink" Target="https://doi.org/10.1074/jbc.M111.244426" TargetMode="External"/><Relationship Id="rId23" Type="http://schemas.openxmlformats.org/officeDocument/2006/relationships/hyperlink" Target="https://doi.org/10.1021/acscatal.3c04085" TargetMode="External"/><Relationship Id="rId28" Type="http://schemas.openxmlformats.org/officeDocument/2006/relationships/hyperlink" Target="https://doi.org/10.1038/s41467-024-48879-w" TargetMode="External"/><Relationship Id="rId49" Type="http://schemas.openxmlformats.org/officeDocument/2006/relationships/hyperlink" Target="https://doi.org/10.1128/jb.182.24.6933-6939.2000" TargetMode="External"/><Relationship Id="rId114" Type="http://schemas.openxmlformats.org/officeDocument/2006/relationships/hyperlink" Target="https://doi.org/10.1038/s41586-019-0978-9" TargetMode="External"/><Relationship Id="rId119" Type="http://schemas.openxmlformats.org/officeDocument/2006/relationships/hyperlink" Target="https://doi.org/10.1021/acs.orglett.1c00951" TargetMode="External"/><Relationship Id="rId44" Type="http://schemas.openxmlformats.org/officeDocument/2006/relationships/hyperlink" Target="http://www.plantphysiol.org/cgi/doi/10.1104/pp.015222" TargetMode="External"/><Relationship Id="rId60" Type="http://schemas.openxmlformats.org/officeDocument/2006/relationships/hyperlink" Target="https://doi.org/10.1104/pp.114.253682" TargetMode="External"/><Relationship Id="rId65" Type="http://schemas.openxmlformats.org/officeDocument/2006/relationships/hyperlink" Target="https://doi.org/10.1093/pcp/pcx167" TargetMode="External"/><Relationship Id="rId81" Type="http://schemas.openxmlformats.org/officeDocument/2006/relationships/hyperlink" Target="https://doi.org/10.1007/s13659-025-00571-2" TargetMode="External"/><Relationship Id="rId86" Type="http://schemas.openxmlformats.org/officeDocument/2006/relationships/hyperlink" Target="https://doi.org/10.1016/j.phytochem.2024.114102" TargetMode="External"/><Relationship Id="rId130" Type="http://schemas.openxmlformats.org/officeDocument/2006/relationships/hyperlink" Target="https://doi.org/10.1038/s41467-020-15664-4" TargetMode="External"/><Relationship Id="rId135" Type="http://schemas.openxmlformats.org/officeDocument/2006/relationships/hyperlink" Target="https://doi.org/10.1021/ol401187b" TargetMode="External"/><Relationship Id="rId151" Type="http://schemas.openxmlformats.org/officeDocument/2006/relationships/hyperlink" Target="https://doi.org/10.1073/pnas.2022294118" TargetMode="External"/><Relationship Id="rId156" Type="http://schemas.openxmlformats.org/officeDocument/2006/relationships/hyperlink" Target="https://doi.org/10.1016/j.indcrop.2026.123718" TargetMode="External"/><Relationship Id="rId172" Type="http://schemas.openxmlformats.org/officeDocument/2006/relationships/comments" Target="../comments1.xml"/><Relationship Id="rId13" Type="http://schemas.openxmlformats.org/officeDocument/2006/relationships/hyperlink" Target="https://doi.org/10.1016/j.molp.2024.08.003" TargetMode="External"/><Relationship Id="rId18" Type="http://schemas.openxmlformats.org/officeDocument/2006/relationships/hyperlink" Target="https://doi.org/10.1104/pp.114.246892" TargetMode="External"/><Relationship Id="rId39" Type="http://schemas.openxmlformats.org/officeDocument/2006/relationships/hyperlink" Target="https://doi.org/10.1093/pcp/pcj025" TargetMode="External"/><Relationship Id="rId109" Type="http://schemas.openxmlformats.org/officeDocument/2006/relationships/hyperlink" Target="https://doi.org/10.1016/j.scib.2021.03.002." TargetMode="External"/><Relationship Id="rId34" Type="http://schemas.openxmlformats.org/officeDocument/2006/relationships/hyperlink" Target="https://doi.org/10.1104/pp.18.00655" TargetMode="External"/><Relationship Id="rId50" Type="http://schemas.openxmlformats.org/officeDocument/2006/relationships/hyperlink" Target="https://doi.org/10.1128/jb.182.24.6933-6939.2000" TargetMode="External"/><Relationship Id="rId55" Type="http://schemas.openxmlformats.org/officeDocument/2006/relationships/hyperlink" Target="https://doi.org/10.1038/nbt853" TargetMode="External"/><Relationship Id="rId76" Type="http://schemas.openxmlformats.org/officeDocument/2006/relationships/hyperlink" Target="https://doi.org/10.1111/tpj.13821" TargetMode="External"/><Relationship Id="rId97" Type="http://schemas.openxmlformats.org/officeDocument/2006/relationships/hyperlink" Target="https://doi.org/10.1016/j.apsb.2023.10.016" TargetMode="External"/><Relationship Id="rId104" Type="http://schemas.openxmlformats.org/officeDocument/2006/relationships/hyperlink" Target="https://doi.org/10.1002/anie.202504190" TargetMode="External"/><Relationship Id="rId120" Type="http://schemas.openxmlformats.org/officeDocument/2006/relationships/hyperlink" Target="https://doi.org/10.1002/anie.202313817" TargetMode="External"/><Relationship Id="rId125" Type="http://schemas.openxmlformats.org/officeDocument/2006/relationships/hyperlink" Target="https://doi.org/10.1016/j.apsb.2019.06.009" TargetMode="External"/><Relationship Id="rId141" Type="http://schemas.openxmlformats.org/officeDocument/2006/relationships/hyperlink" Target="https://doi.org/10.1021/jacs.6b08424" TargetMode="External"/><Relationship Id="rId146" Type="http://schemas.openxmlformats.org/officeDocument/2006/relationships/hyperlink" Target="https://doi.org/10.1038/s41467-023-39108-x" TargetMode="External"/><Relationship Id="rId167" Type="http://schemas.openxmlformats.org/officeDocument/2006/relationships/hyperlink" Target="https://doi.org/10.1016/j.molp.2024.08.003" TargetMode="External"/><Relationship Id="rId7" Type="http://schemas.openxmlformats.org/officeDocument/2006/relationships/hyperlink" Target="https://doi.org/10.1074/jbc.M111.244426" TargetMode="External"/><Relationship Id="rId71" Type="http://schemas.openxmlformats.org/officeDocument/2006/relationships/hyperlink" Target="https://doi.org/10.1111/tpj.70268" TargetMode="External"/><Relationship Id="rId92" Type="http://schemas.openxmlformats.org/officeDocument/2006/relationships/hyperlink" Target="https://doi.org/10.1093/pcp/pcae134" TargetMode="External"/><Relationship Id="rId162" Type="http://schemas.openxmlformats.org/officeDocument/2006/relationships/hyperlink" Target="https://doi.org/10.1021/acscatal.6c00459" TargetMode="External"/><Relationship Id="rId2" Type="http://schemas.openxmlformats.org/officeDocument/2006/relationships/hyperlink" Target="https://doi.org/10.1016/S0031-9422(00)00198-9" TargetMode="External"/><Relationship Id="rId29" Type="http://schemas.openxmlformats.org/officeDocument/2006/relationships/hyperlink" Target="https://doi.org/10.1093/pcp/pcae134" TargetMode="External"/><Relationship Id="rId24" Type="http://schemas.openxmlformats.org/officeDocument/2006/relationships/hyperlink" Target="https://doi.org/10.1111/nph.15611" TargetMode="External"/><Relationship Id="rId40" Type="http://schemas.openxmlformats.org/officeDocument/2006/relationships/hyperlink" Target="https://doi.org/10.1002/cbic.201402160" TargetMode="External"/><Relationship Id="rId45" Type="http://schemas.openxmlformats.org/officeDocument/2006/relationships/hyperlink" Target="https://doi.org/10.1016/j.bbrc.2024.149471" TargetMode="External"/><Relationship Id="rId66" Type="http://schemas.openxmlformats.org/officeDocument/2006/relationships/hyperlink" Target="https://doi.org/10.1093/pcp/pcw178" TargetMode="External"/><Relationship Id="rId87" Type="http://schemas.openxmlformats.org/officeDocument/2006/relationships/hyperlink" Target="https://doi.org/10.1093/pcp/pcae134" TargetMode="External"/><Relationship Id="rId110" Type="http://schemas.openxmlformats.org/officeDocument/2006/relationships/hyperlink" Target="https://doi.org/10.1016/j.apsb.2024.04.005" TargetMode="External"/><Relationship Id="rId115" Type="http://schemas.openxmlformats.org/officeDocument/2006/relationships/hyperlink" Target="https://doi.org/10.1038/s41477-023-01402-3" TargetMode="External"/><Relationship Id="rId131" Type="http://schemas.openxmlformats.org/officeDocument/2006/relationships/hyperlink" Target="https://doi.org/10.1038/s41467-020-15664-4" TargetMode="External"/><Relationship Id="rId136" Type="http://schemas.openxmlformats.org/officeDocument/2006/relationships/hyperlink" Target="https://doi.org/10.1021/ja508127q" TargetMode="External"/><Relationship Id="rId157" Type="http://schemas.openxmlformats.org/officeDocument/2006/relationships/hyperlink" Target="https://doi.org/10.1016/j.indcrop.2026.123718" TargetMode="External"/><Relationship Id="rId61" Type="http://schemas.openxmlformats.org/officeDocument/2006/relationships/hyperlink" Target="https://doi.org/10.1016/j.plaphy.2023.02.012" TargetMode="External"/><Relationship Id="rId82" Type="http://schemas.openxmlformats.org/officeDocument/2006/relationships/hyperlink" Target="https://doi.org/10.1002/anie.202504190" TargetMode="External"/><Relationship Id="rId152" Type="http://schemas.openxmlformats.org/officeDocument/2006/relationships/hyperlink" Target="https://doi.org/10.1073/pnas.2022294118" TargetMode="External"/><Relationship Id="rId19" Type="http://schemas.openxmlformats.org/officeDocument/2006/relationships/hyperlink" Target="https://doi.org/10.1093/plphys/kiae171" TargetMode="External"/><Relationship Id="rId14" Type="http://schemas.openxmlformats.org/officeDocument/2006/relationships/hyperlink" Target="https://doi.org/10.1074/jbc.RA117.000564" TargetMode="External"/><Relationship Id="rId30" Type="http://schemas.openxmlformats.org/officeDocument/2006/relationships/hyperlink" Target="https://doi.org/10.1093/pcp/pcae134" TargetMode="External"/><Relationship Id="rId35" Type="http://schemas.openxmlformats.org/officeDocument/2006/relationships/hyperlink" Target="http://dx.doi.org/10.1002/cbic.201600087" TargetMode="External"/><Relationship Id="rId56" Type="http://schemas.openxmlformats.org/officeDocument/2006/relationships/hyperlink" Target="https://doi.org/10.1104/pp.114.246892" TargetMode="External"/><Relationship Id="rId77" Type="http://schemas.openxmlformats.org/officeDocument/2006/relationships/hyperlink" Target="https://doi.org/10.1134/S1021443723700280" TargetMode="External"/><Relationship Id="rId100" Type="http://schemas.openxmlformats.org/officeDocument/2006/relationships/hyperlink" Target="https://doi.org/10.1002/anie.202504190" TargetMode="External"/><Relationship Id="rId105" Type="http://schemas.openxmlformats.org/officeDocument/2006/relationships/hyperlink" Target="https://doi.org/10.1002/anie.202504190" TargetMode="External"/><Relationship Id="rId126" Type="http://schemas.openxmlformats.org/officeDocument/2006/relationships/hyperlink" Target="https://doi.org/10.1021/acs.orglett.2c00495" TargetMode="External"/><Relationship Id="rId147" Type="http://schemas.openxmlformats.org/officeDocument/2006/relationships/hyperlink" Target="https://doi.org/10.1038/s41467-023-39108-x" TargetMode="External"/><Relationship Id="rId168" Type="http://schemas.openxmlformats.org/officeDocument/2006/relationships/hyperlink" Target="https://doi.org/10.1007/s11103-004-1298-4" TargetMode="External"/><Relationship Id="rId8" Type="http://schemas.openxmlformats.org/officeDocument/2006/relationships/hyperlink" Target="https://doi.org/10.1074/jbc.M111.244426" TargetMode="External"/><Relationship Id="rId51" Type="http://schemas.openxmlformats.org/officeDocument/2006/relationships/hyperlink" Target="https://doi.org/10.1016/j.indcrop.2023.116746" TargetMode="External"/><Relationship Id="rId72" Type="http://schemas.openxmlformats.org/officeDocument/2006/relationships/hyperlink" Target="https://doi.org/10.1111/tpj.70268" TargetMode="External"/><Relationship Id="rId93" Type="http://schemas.openxmlformats.org/officeDocument/2006/relationships/hyperlink" Target="https://doi.org/10.1093/pcp/pcae134" TargetMode="External"/><Relationship Id="rId98" Type="http://schemas.openxmlformats.org/officeDocument/2006/relationships/hyperlink" Target="https://doi.org/10.1016/j.apsb.2023.10.016" TargetMode="External"/><Relationship Id="rId121" Type="http://schemas.openxmlformats.org/officeDocument/2006/relationships/hyperlink" Target="https://doi.org/10.1002/anie.202004364" TargetMode="External"/><Relationship Id="rId142" Type="http://schemas.openxmlformats.org/officeDocument/2006/relationships/hyperlink" Target="https://doi.org/10.1039/c8qo01124a" TargetMode="External"/><Relationship Id="rId163" Type="http://schemas.openxmlformats.org/officeDocument/2006/relationships/hyperlink" Target="https://doi.org/10.1021/acscatal.6c00459" TargetMode="External"/><Relationship Id="rId3" Type="http://schemas.openxmlformats.org/officeDocument/2006/relationships/hyperlink" Target="https://doi.org/10.1104/pp.108.123679" TargetMode="External"/><Relationship Id="rId25" Type="http://schemas.openxmlformats.org/officeDocument/2006/relationships/hyperlink" Target="https://doi.org/10.1111/nph.15611" TargetMode="External"/><Relationship Id="rId46" Type="http://schemas.openxmlformats.org/officeDocument/2006/relationships/hyperlink" Target="https://doi.org/10.1016/j.plantsci.2009.07.014" TargetMode="External"/><Relationship Id="rId67" Type="http://schemas.openxmlformats.org/officeDocument/2006/relationships/hyperlink" Target="https://doi.org/10.1038/nbt853" TargetMode="External"/><Relationship Id="rId116" Type="http://schemas.openxmlformats.org/officeDocument/2006/relationships/hyperlink" Target="https://doi.org/10.1038/s41477-023-01402-3" TargetMode="External"/><Relationship Id="rId137" Type="http://schemas.openxmlformats.org/officeDocument/2006/relationships/hyperlink" Target="https://doi.org/10.1002/anie.202308887" TargetMode="External"/><Relationship Id="rId158" Type="http://schemas.openxmlformats.org/officeDocument/2006/relationships/hyperlink" Target="https://doi.org/10.1021/acscatal.6c00459" TargetMode="External"/><Relationship Id="rId20" Type="http://schemas.openxmlformats.org/officeDocument/2006/relationships/hyperlink" Target="https://doi.org/10.1074/jbc.M114.608265" TargetMode="External"/><Relationship Id="rId41" Type="http://schemas.openxmlformats.org/officeDocument/2006/relationships/hyperlink" Target="https://doi.org/10.1021/acssynbio.4c00416" TargetMode="External"/><Relationship Id="rId62" Type="http://schemas.openxmlformats.org/officeDocument/2006/relationships/hyperlink" Target="https://doi.org/10.1016/j.plaphy.2023.02.012" TargetMode="External"/><Relationship Id="rId83" Type="http://schemas.openxmlformats.org/officeDocument/2006/relationships/hyperlink" Target="https://doi.org/10.1038/s41467-025-58498-8" TargetMode="External"/><Relationship Id="rId88" Type="http://schemas.openxmlformats.org/officeDocument/2006/relationships/hyperlink" Target="https://doi.org/10.1016/j.apsb.2023.10.016" TargetMode="External"/><Relationship Id="rId111" Type="http://schemas.openxmlformats.org/officeDocument/2006/relationships/hyperlink" Target="https://doi.org/10.1016/j.apsb.2024.04.005" TargetMode="External"/><Relationship Id="rId132" Type="http://schemas.openxmlformats.org/officeDocument/2006/relationships/hyperlink" Target="https://doi.org/10.1038/s41467-020-15664-4" TargetMode="External"/><Relationship Id="rId153" Type="http://schemas.openxmlformats.org/officeDocument/2006/relationships/hyperlink" Target="https://doi.org/10.1073/pnas.2022294118" TargetMode="External"/><Relationship Id="rId15" Type="http://schemas.openxmlformats.org/officeDocument/2006/relationships/hyperlink" Target="https://doi.org/10.1074/jbc.RA117.000564" TargetMode="External"/><Relationship Id="rId36" Type="http://schemas.openxmlformats.org/officeDocument/2006/relationships/hyperlink" Target="https://doi.org/10.1016/j.plaphy.2023.02.012" TargetMode="External"/><Relationship Id="rId57" Type="http://schemas.openxmlformats.org/officeDocument/2006/relationships/hyperlink" Target="https://doi.org/10.1074/jbc.M114.608265" TargetMode="External"/><Relationship Id="rId106" Type="http://schemas.openxmlformats.org/officeDocument/2006/relationships/hyperlink" Target="https://doi.org/10.1002/anie.202504190" TargetMode="External"/><Relationship Id="rId127" Type="http://schemas.openxmlformats.org/officeDocument/2006/relationships/hyperlink" Target="https://doi.org/10.1021/acs.orglett.8b03268" TargetMode="External"/><Relationship Id="rId10" Type="http://schemas.openxmlformats.org/officeDocument/2006/relationships/hyperlink" Target="https://doi.org/10.1111/nph.15611" TargetMode="External"/><Relationship Id="rId31" Type="http://schemas.openxmlformats.org/officeDocument/2006/relationships/hyperlink" Target="https://doi.org/10.1021/acs.orglett.1c00951" TargetMode="External"/><Relationship Id="rId52" Type="http://schemas.openxmlformats.org/officeDocument/2006/relationships/hyperlink" Target="https://doi.org/10.1104/pp.107.110544" TargetMode="External"/><Relationship Id="rId73" Type="http://schemas.openxmlformats.org/officeDocument/2006/relationships/hyperlink" Target="https://doi.org/10.1021/acs.jafc.5c04016" TargetMode="External"/><Relationship Id="rId78" Type="http://schemas.openxmlformats.org/officeDocument/2006/relationships/hyperlink" Target="https://doi.org/10.1016/j.jplph.2025.154543" TargetMode="External"/><Relationship Id="rId94" Type="http://schemas.openxmlformats.org/officeDocument/2006/relationships/hyperlink" Target="https://doi.org/10.1093/pcp/pcae134" TargetMode="External"/><Relationship Id="rId99" Type="http://schemas.openxmlformats.org/officeDocument/2006/relationships/hyperlink" Target="https://doi.org/10.1002/anie.202504190" TargetMode="External"/><Relationship Id="rId101" Type="http://schemas.openxmlformats.org/officeDocument/2006/relationships/hyperlink" Target="https://doi.org/10.1002/anie.202504190" TargetMode="External"/><Relationship Id="rId122" Type="http://schemas.openxmlformats.org/officeDocument/2006/relationships/hyperlink" Target="https://doi.org/10.1002/anie.202004364" TargetMode="External"/><Relationship Id="rId143" Type="http://schemas.openxmlformats.org/officeDocument/2006/relationships/hyperlink" Target="https://doi.org/10.1038/s41467-024-48771-7" TargetMode="External"/><Relationship Id="rId148" Type="http://schemas.openxmlformats.org/officeDocument/2006/relationships/hyperlink" Target="https://doi.org/10.1016/j.indcrop.2023.116814." TargetMode="External"/><Relationship Id="rId164" Type="http://schemas.openxmlformats.org/officeDocument/2006/relationships/hyperlink" Target="https://doi.org/10.1016/j.ijbiomac.2020.03.005" TargetMode="External"/><Relationship Id="rId169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016/0014-5793(87)80909-2" TargetMode="External"/><Relationship Id="rId9" Type="http://schemas.openxmlformats.org/officeDocument/2006/relationships/hyperlink" Target="https://doi.org/10.1111/nph.15611" TargetMode="External"/><Relationship Id="rId26" Type="http://schemas.openxmlformats.org/officeDocument/2006/relationships/hyperlink" Target="https://doi.org/10.1038/s41467-024-48879-w" TargetMode="External"/><Relationship Id="rId47" Type="http://schemas.openxmlformats.org/officeDocument/2006/relationships/hyperlink" Target="https://doi.org/10.1016/j.plantsci.2009.07.014" TargetMode="External"/><Relationship Id="rId68" Type="http://schemas.openxmlformats.org/officeDocument/2006/relationships/hyperlink" Target="https://doi.org/10.1039/c8ob01724g" TargetMode="External"/><Relationship Id="rId89" Type="http://schemas.openxmlformats.org/officeDocument/2006/relationships/hyperlink" Target="https://doi.org/10.1093/pcp/pcae134" TargetMode="External"/><Relationship Id="rId112" Type="http://schemas.openxmlformats.org/officeDocument/2006/relationships/hyperlink" Target="https://doi.org/10.1016/j.phytochem.2019.05.009" TargetMode="External"/><Relationship Id="rId133" Type="http://schemas.openxmlformats.org/officeDocument/2006/relationships/hyperlink" Target="https://doi.org/10.1016/j.tet.2013.07.029" TargetMode="External"/><Relationship Id="rId154" Type="http://schemas.openxmlformats.org/officeDocument/2006/relationships/hyperlink" Target="https://doi.org/10.1021/acs.orglett.0c01358" TargetMode="External"/><Relationship Id="rId16" Type="http://schemas.openxmlformats.org/officeDocument/2006/relationships/hyperlink" Target="https://doi.org/10.1038/s42003-019-0630-0" TargetMode="External"/><Relationship Id="rId37" Type="http://schemas.openxmlformats.org/officeDocument/2006/relationships/hyperlink" Target="https://doi.org/10.1074/jbc.M106387200" TargetMode="External"/><Relationship Id="rId58" Type="http://schemas.openxmlformats.org/officeDocument/2006/relationships/hyperlink" Target="https://doi.org/10.1093/pcp/pcy138" TargetMode="External"/><Relationship Id="rId79" Type="http://schemas.openxmlformats.org/officeDocument/2006/relationships/hyperlink" Target="http://dx.doi.org/10.1271/bbb.120192" TargetMode="External"/><Relationship Id="rId102" Type="http://schemas.openxmlformats.org/officeDocument/2006/relationships/hyperlink" Target="https://doi.org/10.1002/anie.202504190" TargetMode="External"/><Relationship Id="rId123" Type="http://schemas.openxmlformats.org/officeDocument/2006/relationships/hyperlink" Target="https://doi.org/10.1039/c5sc01965f" TargetMode="External"/><Relationship Id="rId144" Type="http://schemas.openxmlformats.org/officeDocument/2006/relationships/hyperlink" Target="https://doi.org/10.1021/acscatal.3c04085" TargetMode="External"/><Relationship Id="rId90" Type="http://schemas.openxmlformats.org/officeDocument/2006/relationships/hyperlink" Target="https://doi.org/10.1093/pcp/pcae134" TargetMode="External"/><Relationship Id="rId165" Type="http://schemas.openxmlformats.org/officeDocument/2006/relationships/hyperlink" Target="https://doi.org/10.1016/j.molp.2024.08.003" TargetMode="External"/><Relationship Id="rId27" Type="http://schemas.openxmlformats.org/officeDocument/2006/relationships/hyperlink" Target="https://doi.org/10.1038/s41467-024-48879-w" TargetMode="External"/><Relationship Id="rId48" Type="http://schemas.openxmlformats.org/officeDocument/2006/relationships/hyperlink" Target="https://doi.org/10.1002/cbic.201200124" TargetMode="External"/><Relationship Id="rId69" Type="http://schemas.openxmlformats.org/officeDocument/2006/relationships/hyperlink" Target="https://doi.org/10.1039/D2OB01054B" TargetMode="External"/><Relationship Id="rId113" Type="http://schemas.openxmlformats.org/officeDocument/2006/relationships/hyperlink" Target="https://doi.org/10.1016/j.phytochem.2019.05.009" TargetMode="External"/><Relationship Id="rId134" Type="http://schemas.openxmlformats.org/officeDocument/2006/relationships/hyperlink" Target="https://doi.org/10.1038/s41467-018-04983-2" TargetMode="External"/><Relationship Id="rId80" Type="http://schemas.openxmlformats.org/officeDocument/2006/relationships/hyperlink" Target="https://doi.org/10.1016/j.bioorg.2025.108822" TargetMode="External"/><Relationship Id="rId155" Type="http://schemas.openxmlformats.org/officeDocument/2006/relationships/hyperlink" Target="https://doi.org/10.1021/acs.orglett.6c02165" TargetMode="External"/><Relationship Id="rId17" Type="http://schemas.openxmlformats.org/officeDocument/2006/relationships/hyperlink" Target="https://doi.org/10.1073/pnas.2022294118" TargetMode="External"/><Relationship Id="rId38" Type="http://schemas.openxmlformats.org/officeDocument/2006/relationships/hyperlink" Target="https://doi.org/10.1111/nph.16277" TargetMode="External"/><Relationship Id="rId59" Type="http://schemas.openxmlformats.org/officeDocument/2006/relationships/hyperlink" Target="https://doi.org/10.1016/j.bbrc.2011.11.125" TargetMode="External"/><Relationship Id="rId103" Type="http://schemas.openxmlformats.org/officeDocument/2006/relationships/hyperlink" Target="https://doi.org/10.1002/anie.202504190" TargetMode="External"/><Relationship Id="rId124" Type="http://schemas.openxmlformats.org/officeDocument/2006/relationships/hyperlink" Target="https://doi.org/10.1016/j.chembiol.2014.01.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6"/>
  <sheetViews>
    <sheetView tabSelected="1" zoomScale="50" zoomScaleNormal="50" workbookViewId="0">
      <pane xSplit="2" ySplit="3" topLeftCell="C79" activePane="bottomRight" state="frozen"/>
      <selection pane="topRight" activeCell="C1" sqref="C1"/>
      <selection pane="bottomLeft" activeCell="A4" sqref="A4"/>
      <selection pane="bottomRight" activeCell="A84" sqref="A84:XFD88"/>
    </sheetView>
  </sheetViews>
  <sheetFormatPr defaultColWidth="9.1796875" defaultRowHeight="14.5" x14ac:dyDescent="0.35"/>
  <cols>
    <col min="1" max="1" width="6.1796875" style="1" bestFit="1" customWidth="1"/>
    <col min="2" max="2" width="21" style="1" bestFit="1" customWidth="1"/>
    <col min="3" max="3" width="56.453125" style="1" customWidth="1"/>
    <col min="4" max="4" width="43.1796875" style="1" customWidth="1"/>
    <col min="5" max="5" width="15" style="1" bestFit="1" customWidth="1"/>
    <col min="6" max="6" width="36.1796875" style="4" bestFit="1" customWidth="1"/>
    <col min="7" max="7" width="53.81640625" style="1" bestFit="1" customWidth="1"/>
    <col min="8" max="8" width="159.81640625" customWidth="1"/>
    <col min="9" max="9" width="47.81640625" style="1" bestFit="1" customWidth="1"/>
    <col min="10" max="10" width="37.1796875" style="1" bestFit="1" customWidth="1"/>
    <col min="11" max="11" width="39.54296875" style="1" bestFit="1" customWidth="1"/>
    <col min="12" max="12" width="77.453125" style="1" customWidth="1"/>
    <col min="13" max="13" width="50" style="1" bestFit="1" customWidth="1"/>
    <col min="14" max="14" width="55.453125" style="1" bestFit="1" customWidth="1"/>
    <col min="15" max="15" width="27.81640625" style="1" bestFit="1" customWidth="1"/>
    <col min="16" max="16" width="120.1796875" style="1" customWidth="1"/>
    <col min="17" max="17" width="24.1796875" style="1" bestFit="1" customWidth="1"/>
    <col min="18" max="18" width="20" style="1" bestFit="1" customWidth="1"/>
    <col min="19" max="19" width="20" style="1" customWidth="1"/>
    <col min="20" max="20" width="25.1796875" style="1" bestFit="1" customWidth="1"/>
    <col min="21" max="21" width="50.453125" style="1" bestFit="1" customWidth="1"/>
    <col min="22" max="22" width="255.81640625" style="1" bestFit="1" customWidth="1"/>
    <col min="23" max="16384" width="9.1796875" style="1"/>
  </cols>
  <sheetData>
    <row r="1" spans="1:21" s="14" customFormat="1" x14ac:dyDescent="0.35">
      <c r="A1" s="14" t="s">
        <v>0</v>
      </c>
      <c r="B1" s="14" t="s">
        <v>1</v>
      </c>
      <c r="C1" s="14" t="s">
        <v>1124</v>
      </c>
      <c r="D1" s="14" t="s">
        <v>477</v>
      </c>
      <c r="E1" s="14" t="s">
        <v>374</v>
      </c>
      <c r="F1" s="14" t="s">
        <v>11</v>
      </c>
      <c r="G1" s="14" t="s">
        <v>138</v>
      </c>
      <c r="H1" s="14" t="s">
        <v>157</v>
      </c>
      <c r="I1" s="14" t="s">
        <v>139</v>
      </c>
      <c r="J1" s="14" t="s">
        <v>142</v>
      </c>
      <c r="K1" s="14" t="s">
        <v>140</v>
      </c>
      <c r="L1" s="14" t="s">
        <v>141</v>
      </c>
      <c r="M1" s="14" t="s">
        <v>10</v>
      </c>
      <c r="N1" s="14" t="s">
        <v>2</v>
      </c>
      <c r="O1" s="14" t="s">
        <v>3</v>
      </c>
      <c r="P1" s="14" t="s">
        <v>4</v>
      </c>
      <c r="Q1" s="14" t="s">
        <v>5</v>
      </c>
      <c r="R1" s="14" t="s">
        <v>6</v>
      </c>
      <c r="S1" s="14" t="s">
        <v>121</v>
      </c>
      <c r="T1" s="14" t="s">
        <v>7</v>
      </c>
      <c r="U1" s="14" t="s">
        <v>8</v>
      </c>
    </row>
    <row r="2" spans="1:21" s="17" customFormat="1" ht="43.5" x14ac:dyDescent="0.35">
      <c r="A2">
        <f>IF(B2="","",ROW()-1)</f>
        <v>1</v>
      </c>
      <c r="B2" s="17" t="s">
        <v>9</v>
      </c>
      <c r="C2" s="17" t="s">
        <v>476</v>
      </c>
      <c r="D2" s="17" t="s">
        <v>662</v>
      </c>
      <c r="E2" s="17" t="s">
        <v>375</v>
      </c>
      <c r="F2" s="18" t="s">
        <v>12</v>
      </c>
      <c r="G2" s="17" t="s">
        <v>13</v>
      </c>
      <c r="I2" s="17" t="s">
        <v>14</v>
      </c>
      <c r="K2" s="17" t="s">
        <v>17</v>
      </c>
      <c r="M2" s="17" t="s">
        <v>15</v>
      </c>
      <c r="N2" s="17" t="s">
        <v>652</v>
      </c>
      <c r="O2" s="17" t="s">
        <v>97</v>
      </c>
      <c r="P2" s="19" t="s">
        <v>148</v>
      </c>
      <c r="S2" s="17">
        <v>2009</v>
      </c>
      <c r="T2" s="17" t="s">
        <v>18</v>
      </c>
      <c r="U2" s="21" t="s">
        <v>19</v>
      </c>
    </row>
    <row r="3" spans="1:21" ht="29" x14ac:dyDescent="0.35">
      <c r="A3">
        <f t="shared" ref="A3:A66" si="0">IF(B3="","",ROW()-1)</f>
        <v>2</v>
      </c>
      <c r="B3" s="1" t="s">
        <v>377</v>
      </c>
      <c r="C3" s="1" t="s">
        <v>468</v>
      </c>
      <c r="D3" s="1" t="s">
        <v>467</v>
      </c>
      <c r="E3" s="1" t="s">
        <v>375</v>
      </c>
      <c r="F3" s="4" t="s">
        <v>127</v>
      </c>
      <c r="G3" s="1" t="s">
        <v>22</v>
      </c>
      <c r="H3" s="9" t="s">
        <v>149</v>
      </c>
      <c r="I3" s="1" t="s">
        <v>20</v>
      </c>
      <c r="K3" s="6" t="s">
        <v>150</v>
      </c>
      <c r="L3" s="6" t="s">
        <v>152</v>
      </c>
      <c r="M3" s="1" t="s">
        <v>15</v>
      </c>
      <c r="N3" s="1" t="s">
        <v>23</v>
      </c>
      <c r="O3" s="1" t="s">
        <v>84</v>
      </c>
      <c r="P3" s="6" t="s">
        <v>153</v>
      </c>
      <c r="S3" s="1">
        <v>2009</v>
      </c>
      <c r="T3" s="1" t="s">
        <v>24</v>
      </c>
      <c r="U3" s="3" t="s">
        <v>33</v>
      </c>
    </row>
    <row r="4" spans="1:21" s="17" customFormat="1" ht="145" x14ac:dyDescent="0.35">
      <c r="A4">
        <f t="shared" si="0"/>
        <v>3</v>
      </c>
      <c r="B4" s="17" t="s">
        <v>25</v>
      </c>
      <c r="C4" s="17" t="s">
        <v>468</v>
      </c>
      <c r="D4" s="17" t="s">
        <v>467</v>
      </c>
      <c r="E4" s="17" t="s">
        <v>375</v>
      </c>
      <c r="F4" s="18" t="s">
        <v>21</v>
      </c>
      <c r="G4" s="17" t="s">
        <v>26</v>
      </c>
      <c r="H4" s="19" t="s">
        <v>158</v>
      </c>
      <c r="I4" s="17" t="s">
        <v>20</v>
      </c>
      <c r="J4" s="19" t="s">
        <v>156</v>
      </c>
      <c r="K4" s="17" t="s">
        <v>29</v>
      </c>
      <c r="L4" s="19" t="s">
        <v>155</v>
      </c>
      <c r="M4" s="19" t="s">
        <v>34</v>
      </c>
      <c r="N4" s="17" t="s">
        <v>154</v>
      </c>
      <c r="O4" s="17" t="s">
        <v>28</v>
      </c>
      <c r="P4" s="19" t="s">
        <v>61</v>
      </c>
      <c r="Q4" s="20" t="s">
        <v>30</v>
      </c>
      <c r="S4" s="17">
        <v>2000</v>
      </c>
      <c r="T4" s="17" t="s">
        <v>31</v>
      </c>
      <c r="U4" s="21" t="s">
        <v>32</v>
      </c>
    </row>
    <row r="5" spans="1:21" ht="29" x14ac:dyDescent="0.35">
      <c r="A5">
        <f t="shared" si="0"/>
        <v>4</v>
      </c>
      <c r="B5" s="6" t="s">
        <v>37</v>
      </c>
      <c r="C5" s="1" t="s">
        <v>1120</v>
      </c>
      <c r="D5" s="6" t="s">
        <v>467</v>
      </c>
      <c r="E5" s="1" t="s">
        <v>375</v>
      </c>
      <c r="F5" s="4" t="s">
        <v>35</v>
      </c>
      <c r="G5" s="1" t="s">
        <v>36</v>
      </c>
      <c r="H5" s="6" t="s">
        <v>159</v>
      </c>
      <c r="I5" s="1" t="s">
        <v>20</v>
      </c>
      <c r="K5" s="1" t="s">
        <v>40</v>
      </c>
      <c r="M5" s="6" t="s">
        <v>34</v>
      </c>
      <c r="N5" s="1" t="s">
        <v>38</v>
      </c>
      <c r="O5" s="1" t="s">
        <v>16</v>
      </c>
      <c r="P5" s="6" t="s">
        <v>62</v>
      </c>
      <c r="Q5" s="1" t="s">
        <v>39</v>
      </c>
      <c r="S5" s="1">
        <v>1987</v>
      </c>
      <c r="T5" s="1" t="s">
        <v>41</v>
      </c>
      <c r="U5" s="3" t="s">
        <v>42</v>
      </c>
    </row>
    <row r="6" spans="1:21" s="17" customFormat="1" ht="159.5" x14ac:dyDescent="0.35">
      <c r="A6">
        <f t="shared" si="0"/>
        <v>5</v>
      </c>
      <c r="B6" s="17" t="s">
        <v>98</v>
      </c>
      <c r="C6" s="17" t="s">
        <v>468</v>
      </c>
      <c r="D6" s="17" t="s">
        <v>467</v>
      </c>
      <c r="E6" s="17" t="s">
        <v>375</v>
      </c>
      <c r="F6" s="18" t="s">
        <v>43</v>
      </c>
      <c r="G6" s="19" t="s">
        <v>47</v>
      </c>
      <c r="H6" s="22" t="s">
        <v>166</v>
      </c>
      <c r="I6" s="17" t="s">
        <v>20</v>
      </c>
      <c r="J6" s="22" t="s">
        <v>165</v>
      </c>
      <c r="K6" s="17" t="s">
        <v>17</v>
      </c>
      <c r="L6" s="19" t="s">
        <v>164</v>
      </c>
      <c r="M6" s="19" t="s">
        <v>15</v>
      </c>
      <c r="N6" s="19" t="s">
        <v>162</v>
      </c>
      <c r="O6" s="19" t="s">
        <v>163</v>
      </c>
      <c r="P6" s="19" t="s">
        <v>167</v>
      </c>
      <c r="S6" s="17">
        <v>2012</v>
      </c>
      <c r="T6" s="17" t="s">
        <v>160</v>
      </c>
      <c r="U6" s="21" t="s">
        <v>161</v>
      </c>
    </row>
    <row r="7" spans="1:21" ht="72.5" x14ac:dyDescent="0.35">
      <c r="A7">
        <f t="shared" si="0"/>
        <v>6</v>
      </c>
      <c r="B7" s="1" t="s">
        <v>48</v>
      </c>
      <c r="C7" s="1" t="s">
        <v>1119</v>
      </c>
      <c r="D7" s="1" t="s">
        <v>599</v>
      </c>
      <c r="E7" s="1" t="s">
        <v>375</v>
      </c>
      <c r="F7" s="4" t="s">
        <v>44</v>
      </c>
      <c r="G7" s="1" t="s">
        <v>49</v>
      </c>
      <c r="I7" s="1" t="s">
        <v>20</v>
      </c>
      <c r="J7" s="9" t="s">
        <v>181</v>
      </c>
      <c r="K7" s="6" t="s">
        <v>180</v>
      </c>
      <c r="L7" s="6"/>
      <c r="M7" s="6" t="s">
        <v>34</v>
      </c>
      <c r="N7" s="6" t="s">
        <v>50</v>
      </c>
      <c r="O7" s="6" t="s">
        <v>51</v>
      </c>
      <c r="P7" s="6" t="s">
        <v>65</v>
      </c>
      <c r="Q7" s="1" t="s">
        <v>178</v>
      </c>
      <c r="R7" s="1" t="s">
        <v>179</v>
      </c>
      <c r="S7" s="1">
        <v>1990</v>
      </c>
      <c r="T7" s="1" t="s">
        <v>45</v>
      </c>
      <c r="U7" s="3" t="s">
        <v>46</v>
      </c>
    </row>
    <row r="8" spans="1:21" ht="29" x14ac:dyDescent="0.35">
      <c r="A8">
        <f t="shared" si="0"/>
        <v>7</v>
      </c>
      <c r="B8" s="1" t="s">
        <v>58</v>
      </c>
      <c r="C8" s="1" t="s">
        <v>468</v>
      </c>
      <c r="D8" s="1" t="s">
        <v>467</v>
      </c>
      <c r="E8" s="1" t="s">
        <v>375</v>
      </c>
      <c r="F8" s="4" t="s">
        <v>21</v>
      </c>
      <c r="G8" s="6" t="s">
        <v>59</v>
      </c>
      <c r="I8" s="1" t="s">
        <v>20</v>
      </c>
      <c r="K8" s="6" t="s">
        <v>17</v>
      </c>
      <c r="L8" s="6"/>
      <c r="M8" s="6" t="s">
        <v>15</v>
      </c>
      <c r="N8" s="6" t="s">
        <v>27</v>
      </c>
      <c r="O8" s="6" t="s">
        <v>28</v>
      </c>
      <c r="P8" s="6" t="s">
        <v>60</v>
      </c>
      <c r="S8" s="1">
        <v>2011</v>
      </c>
      <c r="T8" s="1" t="s">
        <v>67</v>
      </c>
      <c r="U8" s="3" t="s">
        <v>68</v>
      </c>
    </row>
    <row r="9" spans="1:21" ht="87" x14ac:dyDescent="0.35">
      <c r="A9">
        <f t="shared" si="0"/>
        <v>8</v>
      </c>
      <c r="B9" s="1" t="s">
        <v>52</v>
      </c>
      <c r="C9" s="1" t="s">
        <v>468</v>
      </c>
      <c r="D9" s="1" t="s">
        <v>467</v>
      </c>
      <c r="E9" s="1" t="s">
        <v>375</v>
      </c>
      <c r="F9" s="4" t="s">
        <v>21</v>
      </c>
      <c r="G9" s="6" t="s">
        <v>182</v>
      </c>
      <c r="H9" s="6" t="s">
        <v>183</v>
      </c>
      <c r="I9" s="6" t="s">
        <v>143</v>
      </c>
      <c r="J9" s="6" t="s">
        <v>144</v>
      </c>
      <c r="K9" s="6" t="s">
        <v>150</v>
      </c>
      <c r="L9" s="6" t="s">
        <v>151</v>
      </c>
      <c r="M9" s="6" t="s">
        <v>15</v>
      </c>
      <c r="N9" s="1" t="s">
        <v>57</v>
      </c>
      <c r="O9" s="1" t="s">
        <v>55</v>
      </c>
      <c r="P9" s="6" t="s">
        <v>66</v>
      </c>
      <c r="Q9" s="1" t="s">
        <v>64</v>
      </c>
      <c r="R9" s="1" t="s">
        <v>63</v>
      </c>
      <c r="S9" s="1">
        <v>2011</v>
      </c>
      <c r="T9" s="1" t="s">
        <v>67</v>
      </c>
      <c r="U9" s="3" t="s">
        <v>68</v>
      </c>
    </row>
    <row r="10" spans="1:21" ht="87" x14ac:dyDescent="0.35">
      <c r="A10">
        <f t="shared" si="0"/>
        <v>9</v>
      </c>
      <c r="B10" s="1" t="s">
        <v>53</v>
      </c>
      <c r="C10" s="1" t="s">
        <v>468</v>
      </c>
      <c r="D10" s="1" t="s">
        <v>467</v>
      </c>
      <c r="E10" s="1" t="s">
        <v>375</v>
      </c>
      <c r="F10" s="4" t="s">
        <v>21</v>
      </c>
      <c r="G10" s="1" t="s">
        <v>54</v>
      </c>
      <c r="H10" s="11" t="s">
        <v>185</v>
      </c>
      <c r="I10" s="1" t="s">
        <v>20</v>
      </c>
      <c r="J10" s="7" t="s">
        <v>186</v>
      </c>
      <c r="K10" s="1" t="s">
        <v>17</v>
      </c>
      <c r="M10" s="6" t="s">
        <v>15</v>
      </c>
      <c r="N10" s="1" t="s">
        <v>56</v>
      </c>
      <c r="S10" s="1">
        <v>2011</v>
      </c>
      <c r="T10" s="1" t="s">
        <v>67</v>
      </c>
      <c r="U10" s="3" t="s">
        <v>68</v>
      </c>
    </row>
    <row r="11" spans="1:21" s="17" customFormat="1" ht="43.5" x14ac:dyDescent="0.35">
      <c r="A11">
        <f t="shared" si="0"/>
        <v>10</v>
      </c>
      <c r="B11" s="19" t="s">
        <v>184</v>
      </c>
      <c r="C11" s="19" t="s">
        <v>470</v>
      </c>
      <c r="D11" s="19" t="s">
        <v>469</v>
      </c>
      <c r="E11" s="17" t="s">
        <v>375</v>
      </c>
      <c r="F11" s="18" t="s">
        <v>69</v>
      </c>
      <c r="G11" s="19" t="s">
        <v>188</v>
      </c>
      <c r="H11" s="24"/>
      <c r="I11" s="17" t="s">
        <v>20</v>
      </c>
      <c r="K11" s="19" t="s">
        <v>72</v>
      </c>
      <c r="L11" s="19"/>
      <c r="M11" s="17" t="s">
        <v>15</v>
      </c>
      <c r="N11" s="19" t="s">
        <v>196</v>
      </c>
      <c r="O11" s="17" t="s">
        <v>28</v>
      </c>
      <c r="P11" s="19" t="s">
        <v>190</v>
      </c>
      <c r="Q11" s="19" t="s">
        <v>73</v>
      </c>
      <c r="R11" s="17" t="s">
        <v>74</v>
      </c>
      <c r="S11" s="17">
        <v>2019</v>
      </c>
      <c r="T11" s="17" t="s">
        <v>75</v>
      </c>
      <c r="U11" s="21" t="s">
        <v>76</v>
      </c>
    </row>
    <row r="12" spans="1:21" s="17" customFormat="1" ht="29" x14ac:dyDescent="0.35">
      <c r="A12">
        <f t="shared" si="0"/>
        <v>11</v>
      </c>
      <c r="B12" s="19" t="s">
        <v>187</v>
      </c>
      <c r="C12" s="19" t="s">
        <v>470</v>
      </c>
      <c r="D12" s="19" t="s">
        <v>469</v>
      </c>
      <c r="E12" s="17" t="s">
        <v>375</v>
      </c>
      <c r="F12" s="18" t="s">
        <v>69</v>
      </c>
      <c r="G12" s="19" t="s">
        <v>71</v>
      </c>
      <c r="I12" s="17" t="s">
        <v>20</v>
      </c>
      <c r="K12" s="19" t="s">
        <v>17</v>
      </c>
      <c r="L12" s="19"/>
      <c r="M12" s="17" t="s">
        <v>15</v>
      </c>
      <c r="N12" s="19" t="s">
        <v>189</v>
      </c>
      <c r="O12" s="17" t="s">
        <v>28</v>
      </c>
      <c r="P12" s="19" t="s">
        <v>191</v>
      </c>
      <c r="Q12" s="19"/>
      <c r="S12" s="17">
        <v>2019</v>
      </c>
      <c r="T12" s="17" t="s">
        <v>192</v>
      </c>
      <c r="U12" s="21" t="s">
        <v>193</v>
      </c>
    </row>
    <row r="13" spans="1:21" ht="29" x14ac:dyDescent="0.35">
      <c r="A13">
        <f t="shared" si="0"/>
        <v>12</v>
      </c>
      <c r="B13" s="6" t="s">
        <v>194</v>
      </c>
      <c r="C13" s="6" t="s">
        <v>470</v>
      </c>
      <c r="D13" s="6" t="s">
        <v>469</v>
      </c>
      <c r="E13" s="1" t="s">
        <v>375</v>
      </c>
      <c r="F13" s="4" t="s">
        <v>70</v>
      </c>
      <c r="G13" s="6" t="s">
        <v>188</v>
      </c>
      <c r="H13" s="1"/>
      <c r="I13" s="1" t="s">
        <v>20</v>
      </c>
      <c r="K13" s="6" t="s">
        <v>17</v>
      </c>
      <c r="M13" s="6" t="s">
        <v>198</v>
      </c>
      <c r="N13" s="6" t="s">
        <v>197</v>
      </c>
      <c r="O13" s="1" t="s">
        <v>28</v>
      </c>
      <c r="S13" s="1">
        <v>2019</v>
      </c>
      <c r="T13" s="1" t="s">
        <v>75</v>
      </c>
      <c r="U13" s="3" t="s">
        <v>76</v>
      </c>
    </row>
    <row r="14" spans="1:21" ht="29" x14ac:dyDescent="0.35">
      <c r="A14">
        <f t="shared" si="0"/>
        <v>13</v>
      </c>
      <c r="B14" s="6" t="s">
        <v>195</v>
      </c>
      <c r="C14" s="6" t="s">
        <v>470</v>
      </c>
      <c r="D14" s="6" t="s">
        <v>469</v>
      </c>
      <c r="E14" s="1" t="s">
        <v>375</v>
      </c>
      <c r="F14" s="4" t="s">
        <v>70</v>
      </c>
      <c r="G14" s="6" t="s">
        <v>188</v>
      </c>
      <c r="I14" s="1" t="s">
        <v>20</v>
      </c>
      <c r="K14" s="6" t="s">
        <v>17</v>
      </c>
      <c r="M14" s="6" t="s">
        <v>198</v>
      </c>
      <c r="N14" s="6" t="s">
        <v>189</v>
      </c>
      <c r="O14" s="1" t="s">
        <v>28</v>
      </c>
      <c r="S14" s="1">
        <v>2019</v>
      </c>
      <c r="T14" s="1" t="s">
        <v>192</v>
      </c>
      <c r="U14" s="3" t="s">
        <v>193</v>
      </c>
    </row>
    <row r="15" spans="1:21" ht="29" x14ac:dyDescent="0.35">
      <c r="A15">
        <f t="shared" si="0"/>
        <v>14</v>
      </c>
      <c r="B15" s="1" t="s">
        <v>99</v>
      </c>
      <c r="C15" s="6" t="s">
        <v>637</v>
      </c>
      <c r="D15" s="6" t="s">
        <v>469</v>
      </c>
      <c r="E15" s="1" t="s">
        <v>375</v>
      </c>
      <c r="F15" s="4" t="s">
        <v>77</v>
      </c>
      <c r="G15" s="1" t="s">
        <v>80</v>
      </c>
      <c r="I15" s="1" t="s">
        <v>20</v>
      </c>
      <c r="K15" s="1" t="s">
        <v>78</v>
      </c>
      <c r="M15" s="6" t="s">
        <v>34</v>
      </c>
      <c r="N15" s="1" t="s">
        <v>95</v>
      </c>
      <c r="P15" s="6" t="s">
        <v>79</v>
      </c>
      <c r="Q15" s="1" t="s">
        <v>81</v>
      </c>
      <c r="R15" s="1" t="s">
        <v>74</v>
      </c>
      <c r="S15" s="1">
        <v>2004</v>
      </c>
      <c r="T15" s="1" t="s">
        <v>82</v>
      </c>
      <c r="U15" s="3" t="s">
        <v>83</v>
      </c>
    </row>
    <row r="16" spans="1:21" ht="58" x14ac:dyDescent="0.35">
      <c r="A16">
        <f t="shared" si="0"/>
        <v>15</v>
      </c>
      <c r="B16" s="6" t="s">
        <v>88</v>
      </c>
      <c r="C16" s="6" t="s">
        <v>470</v>
      </c>
      <c r="D16" s="6" t="s">
        <v>469</v>
      </c>
      <c r="E16" s="1" t="s">
        <v>375</v>
      </c>
      <c r="F16" s="4" t="s">
        <v>77</v>
      </c>
      <c r="G16" s="6" t="s">
        <v>85</v>
      </c>
      <c r="I16" s="1" t="s">
        <v>20</v>
      </c>
      <c r="K16" s="6" t="s">
        <v>146</v>
      </c>
      <c r="L16" s="6" t="s">
        <v>147</v>
      </c>
      <c r="M16" s="1" t="s">
        <v>15</v>
      </c>
      <c r="N16" s="6" t="s">
        <v>86</v>
      </c>
      <c r="O16" s="1" t="s">
        <v>84</v>
      </c>
      <c r="P16" s="6" t="s">
        <v>90</v>
      </c>
      <c r="Q16" s="6" t="s">
        <v>89</v>
      </c>
      <c r="R16" s="1" t="s">
        <v>87</v>
      </c>
      <c r="S16" s="1">
        <v>2023</v>
      </c>
      <c r="T16" s="1" t="s">
        <v>91</v>
      </c>
      <c r="U16" s="3" t="s">
        <v>92</v>
      </c>
    </row>
    <row r="17" spans="1:21" x14ac:dyDescent="0.35">
      <c r="A17">
        <f t="shared" si="0"/>
        <v>16</v>
      </c>
      <c r="B17" s="1" t="s">
        <v>1125</v>
      </c>
      <c r="C17" s="6" t="s">
        <v>637</v>
      </c>
      <c r="D17" s="6" t="s">
        <v>469</v>
      </c>
      <c r="E17" s="1" t="s">
        <v>375</v>
      </c>
      <c r="F17" s="4" t="s">
        <v>77</v>
      </c>
      <c r="G17" s="6" t="s">
        <v>80</v>
      </c>
      <c r="I17" s="6" t="s">
        <v>14</v>
      </c>
      <c r="J17" s="6"/>
      <c r="M17" s="1" t="s">
        <v>15</v>
      </c>
      <c r="N17" s="1" t="s">
        <v>96</v>
      </c>
      <c r="S17" s="1">
        <v>2024</v>
      </c>
      <c r="T17" s="1" t="s">
        <v>94</v>
      </c>
      <c r="U17" s="3" t="s">
        <v>93</v>
      </c>
    </row>
    <row r="18" spans="1:21" ht="43.5" x14ac:dyDescent="0.35">
      <c r="A18">
        <f t="shared" si="0"/>
        <v>17</v>
      </c>
      <c r="B18" s="6" t="s">
        <v>378</v>
      </c>
      <c r="C18" s="6" t="s">
        <v>471</v>
      </c>
      <c r="D18" s="6" t="s">
        <v>467</v>
      </c>
      <c r="E18" s="1" t="s">
        <v>375</v>
      </c>
      <c r="F18" s="4" t="s">
        <v>100</v>
      </c>
      <c r="G18" s="6" t="s">
        <v>102</v>
      </c>
      <c r="H18" s="34" t="s">
        <v>664</v>
      </c>
      <c r="I18" s="1" t="s">
        <v>20</v>
      </c>
      <c r="J18" s="9" t="s">
        <v>665</v>
      </c>
      <c r="K18" s="1" t="s">
        <v>17</v>
      </c>
      <c r="M18" s="6" t="s">
        <v>118</v>
      </c>
      <c r="N18" s="6" t="s">
        <v>107</v>
      </c>
      <c r="O18" s="1" t="s">
        <v>97</v>
      </c>
      <c r="P18" s="6" t="s">
        <v>109</v>
      </c>
      <c r="Q18" s="1">
        <v>9</v>
      </c>
      <c r="R18" s="1" t="s">
        <v>110</v>
      </c>
      <c r="S18" s="1">
        <v>2017</v>
      </c>
      <c r="T18" s="1" t="s">
        <v>105</v>
      </c>
      <c r="U18" s="3" t="s">
        <v>104</v>
      </c>
    </row>
    <row r="19" spans="1:21" ht="58" x14ac:dyDescent="0.35">
      <c r="A19">
        <f t="shared" si="0"/>
        <v>18</v>
      </c>
      <c r="B19" s="1" t="s">
        <v>101</v>
      </c>
      <c r="C19" s="6" t="s">
        <v>471</v>
      </c>
      <c r="D19" s="6" t="s">
        <v>467</v>
      </c>
      <c r="E19" s="1" t="s">
        <v>375</v>
      </c>
      <c r="F19" s="4" t="s">
        <v>100</v>
      </c>
      <c r="G19" s="6" t="s">
        <v>103</v>
      </c>
      <c r="H19" s="34" t="s">
        <v>663</v>
      </c>
      <c r="I19" s="1" t="s">
        <v>20</v>
      </c>
      <c r="J19" s="9" t="s">
        <v>665</v>
      </c>
      <c r="K19" s="1" t="s">
        <v>17</v>
      </c>
      <c r="M19" s="6" t="s">
        <v>118</v>
      </c>
      <c r="N19" s="6" t="s">
        <v>106</v>
      </c>
      <c r="O19" s="1" t="s">
        <v>84</v>
      </c>
      <c r="P19" s="6" t="s">
        <v>108</v>
      </c>
      <c r="Q19" s="1">
        <v>9</v>
      </c>
      <c r="R19" s="1" t="s">
        <v>111</v>
      </c>
      <c r="S19" s="1">
        <v>2017</v>
      </c>
      <c r="T19" s="1" t="s">
        <v>105</v>
      </c>
      <c r="U19" s="3" t="s">
        <v>104</v>
      </c>
    </row>
    <row r="20" spans="1:21" ht="43.5" x14ac:dyDescent="0.35">
      <c r="A20">
        <f t="shared" si="0"/>
        <v>19</v>
      </c>
      <c r="B20" s="25" t="s">
        <v>115</v>
      </c>
      <c r="C20" s="25" t="s">
        <v>472</v>
      </c>
      <c r="D20" s="25" t="s">
        <v>855</v>
      </c>
      <c r="E20" s="25" t="s">
        <v>375</v>
      </c>
      <c r="F20" s="26" t="s">
        <v>112</v>
      </c>
      <c r="G20" s="27" t="s">
        <v>113</v>
      </c>
      <c r="H20" s="29"/>
      <c r="I20" s="27" t="s">
        <v>20</v>
      </c>
      <c r="J20" s="27" t="s">
        <v>145</v>
      </c>
      <c r="K20" s="25" t="s">
        <v>17</v>
      </c>
      <c r="L20" s="25"/>
      <c r="M20" s="25" t="s">
        <v>119</v>
      </c>
      <c r="N20" s="27" t="s">
        <v>120</v>
      </c>
      <c r="O20" s="27" t="s">
        <v>114</v>
      </c>
      <c r="P20" s="25"/>
      <c r="Q20" s="25"/>
      <c r="R20" s="25"/>
      <c r="S20" s="25">
        <v>2019</v>
      </c>
      <c r="T20" s="25" t="s">
        <v>117</v>
      </c>
      <c r="U20" s="28" t="s">
        <v>116</v>
      </c>
    </row>
    <row r="21" spans="1:21" s="25" customFormat="1" ht="29" x14ac:dyDescent="0.35">
      <c r="A21">
        <f t="shared" si="0"/>
        <v>20</v>
      </c>
      <c r="B21" s="6" t="s">
        <v>434</v>
      </c>
      <c r="C21" s="6" t="s">
        <v>474</v>
      </c>
      <c r="D21" s="6" t="s">
        <v>473</v>
      </c>
      <c r="E21" s="1" t="s">
        <v>375</v>
      </c>
      <c r="F21" s="8" t="s">
        <v>431</v>
      </c>
      <c r="G21" s="6" t="s">
        <v>126</v>
      </c>
      <c r="H21"/>
      <c r="I21" s="1" t="s">
        <v>14</v>
      </c>
      <c r="J21" s="1"/>
      <c r="K21" s="1" t="s">
        <v>17</v>
      </c>
      <c r="L21" s="1"/>
      <c r="M21" s="1" t="s">
        <v>119</v>
      </c>
      <c r="N21" s="6" t="s">
        <v>438</v>
      </c>
      <c r="O21" s="6" t="s">
        <v>437</v>
      </c>
      <c r="P21" s="1"/>
      <c r="Q21" s="1"/>
      <c r="R21" s="1"/>
      <c r="S21" s="1">
        <v>2021</v>
      </c>
      <c r="T21" s="1" t="s">
        <v>122</v>
      </c>
      <c r="U21" s="3" t="s">
        <v>123</v>
      </c>
    </row>
    <row r="22" spans="1:21" ht="101.5" x14ac:dyDescent="0.35">
      <c r="A22">
        <f t="shared" si="0"/>
        <v>21</v>
      </c>
      <c r="B22" s="27" t="s">
        <v>432</v>
      </c>
      <c r="C22" s="27" t="s">
        <v>474</v>
      </c>
      <c r="D22" s="27" t="s">
        <v>473</v>
      </c>
      <c r="E22" s="25" t="s">
        <v>375</v>
      </c>
      <c r="F22" s="30" t="s">
        <v>431</v>
      </c>
      <c r="G22" s="27" t="s">
        <v>433</v>
      </c>
      <c r="H22" s="31" t="s">
        <v>520</v>
      </c>
      <c r="I22" s="25" t="s">
        <v>14</v>
      </c>
      <c r="J22" s="32" t="s">
        <v>20</v>
      </c>
      <c r="K22" s="25" t="s">
        <v>17</v>
      </c>
      <c r="L22" s="27" t="s">
        <v>531</v>
      </c>
      <c r="M22" s="25" t="s">
        <v>642</v>
      </c>
      <c r="N22" s="27" t="s">
        <v>435</v>
      </c>
      <c r="O22" s="27" t="s">
        <v>436</v>
      </c>
      <c r="P22" s="27" t="s">
        <v>522</v>
      </c>
      <c r="Q22" s="25" t="s">
        <v>521</v>
      </c>
      <c r="R22" s="25"/>
      <c r="S22" s="25">
        <v>2012</v>
      </c>
      <c r="T22" s="25" t="s">
        <v>518</v>
      </c>
      <c r="U22" s="28" t="s">
        <v>519</v>
      </c>
    </row>
    <row r="23" spans="1:21" s="25" customFormat="1" ht="29" x14ac:dyDescent="0.35">
      <c r="A23">
        <f t="shared" si="0"/>
        <v>22</v>
      </c>
      <c r="B23" s="6" t="s">
        <v>440</v>
      </c>
      <c r="C23" s="6" t="s">
        <v>474</v>
      </c>
      <c r="D23" s="6" t="s">
        <v>473</v>
      </c>
      <c r="E23" s="1" t="s">
        <v>375</v>
      </c>
      <c r="F23" s="4" t="s">
        <v>125</v>
      </c>
      <c r="G23" s="6" t="s">
        <v>126</v>
      </c>
      <c r="H23"/>
      <c r="I23" s="1" t="s">
        <v>14</v>
      </c>
      <c r="J23" s="1"/>
      <c r="K23" s="1"/>
      <c r="L23" s="1"/>
      <c r="M23" s="1" t="s">
        <v>15</v>
      </c>
      <c r="N23" s="6" t="s">
        <v>443</v>
      </c>
      <c r="O23" s="6" t="s">
        <v>442</v>
      </c>
      <c r="P23" s="1"/>
      <c r="Q23" s="1"/>
      <c r="R23" s="1"/>
      <c r="S23" s="1">
        <v>2014</v>
      </c>
      <c r="T23" s="1" t="s">
        <v>444</v>
      </c>
      <c r="U23" s="3" t="s">
        <v>124</v>
      </c>
    </row>
    <row r="24" spans="1:21" ht="29" x14ac:dyDescent="0.35">
      <c r="A24">
        <f t="shared" si="0"/>
        <v>23</v>
      </c>
      <c r="B24" s="27" t="s">
        <v>439</v>
      </c>
      <c r="C24" s="27" t="s">
        <v>474</v>
      </c>
      <c r="D24" s="27" t="s">
        <v>473</v>
      </c>
      <c r="E24" s="25" t="s">
        <v>375</v>
      </c>
      <c r="F24" s="26" t="s">
        <v>125</v>
      </c>
      <c r="G24" s="27" t="s">
        <v>126</v>
      </c>
      <c r="H24" s="29"/>
      <c r="I24" s="25" t="s">
        <v>14</v>
      </c>
      <c r="J24" s="25"/>
      <c r="K24" s="25"/>
      <c r="L24" s="25"/>
      <c r="M24" s="25" t="s">
        <v>15</v>
      </c>
      <c r="N24" s="27" t="s">
        <v>441</v>
      </c>
      <c r="O24" s="27" t="s">
        <v>28</v>
      </c>
      <c r="P24" s="25"/>
      <c r="Q24" s="25"/>
      <c r="R24" s="25"/>
      <c r="S24" s="25">
        <v>2014</v>
      </c>
      <c r="T24" s="25" t="s">
        <v>444</v>
      </c>
      <c r="U24" s="28" t="s">
        <v>124</v>
      </c>
    </row>
    <row r="25" spans="1:21" s="25" customFormat="1" ht="159.5" x14ac:dyDescent="0.35">
      <c r="A25">
        <f t="shared" si="0"/>
        <v>24</v>
      </c>
      <c r="B25" s="1" t="s">
        <v>132</v>
      </c>
      <c r="C25" t="s">
        <v>1122</v>
      </c>
      <c r="D25" s="1" t="s">
        <v>1092</v>
      </c>
      <c r="E25" s="1" t="s">
        <v>375</v>
      </c>
      <c r="F25" s="4" t="s">
        <v>131</v>
      </c>
      <c r="G25" s="6" t="s">
        <v>134</v>
      </c>
      <c r="H25"/>
      <c r="I25" s="1" t="s">
        <v>20</v>
      </c>
      <c r="J25" s="1"/>
      <c r="K25" s="1" t="s">
        <v>17</v>
      </c>
      <c r="L25" s="1"/>
      <c r="M25" s="1" t="s">
        <v>15</v>
      </c>
      <c r="N25" s="6" t="s">
        <v>133</v>
      </c>
      <c r="O25" s="6" t="s">
        <v>1094</v>
      </c>
      <c r="P25" s="6" t="s">
        <v>135</v>
      </c>
      <c r="Q25" s="1">
        <v>8.5</v>
      </c>
      <c r="R25" s="1" t="s">
        <v>136</v>
      </c>
      <c r="S25" s="1">
        <v>2024</v>
      </c>
      <c r="T25" s="1" t="s">
        <v>129</v>
      </c>
      <c r="U25" s="3" t="s">
        <v>130</v>
      </c>
    </row>
    <row r="26" spans="1:21" ht="246.5" x14ac:dyDescent="0.35">
      <c r="A26">
        <f t="shared" si="0"/>
        <v>25</v>
      </c>
      <c r="B26" s="1" t="s">
        <v>457</v>
      </c>
      <c r="C26" s="1" t="s">
        <v>468</v>
      </c>
      <c r="D26" s="1" t="s">
        <v>475</v>
      </c>
      <c r="E26" s="1" t="s">
        <v>375</v>
      </c>
      <c r="F26" s="4" t="s">
        <v>137</v>
      </c>
      <c r="G26" s="1" t="s">
        <v>478</v>
      </c>
      <c r="H26" s="5" t="s">
        <v>480</v>
      </c>
      <c r="I26" s="1" t="s">
        <v>20</v>
      </c>
      <c r="J26" s="6" t="s">
        <v>286</v>
      </c>
      <c r="K26" s="1" t="s">
        <v>17</v>
      </c>
      <c r="L26" s="6" t="s">
        <v>483</v>
      </c>
      <c r="M26" s="1" t="s">
        <v>15</v>
      </c>
      <c r="N26" s="1" t="s">
        <v>479</v>
      </c>
      <c r="O26" s="6" t="s">
        <v>488</v>
      </c>
      <c r="P26" s="6" t="s">
        <v>486</v>
      </c>
      <c r="Q26" s="1" t="s">
        <v>367</v>
      </c>
      <c r="R26" s="1" t="s">
        <v>485</v>
      </c>
      <c r="S26" s="1">
        <v>2014</v>
      </c>
      <c r="T26" s="1" t="s">
        <v>458</v>
      </c>
      <c r="U26" s="3" t="s">
        <v>459</v>
      </c>
    </row>
    <row r="27" spans="1:21" ht="246.5" x14ac:dyDescent="0.35">
      <c r="A27">
        <f t="shared" si="0"/>
        <v>26</v>
      </c>
      <c r="B27" s="1" t="s">
        <v>460</v>
      </c>
      <c r="C27" s="1" t="s">
        <v>468</v>
      </c>
      <c r="D27" s="1" t="s">
        <v>475</v>
      </c>
      <c r="E27" s="1" t="s">
        <v>375</v>
      </c>
      <c r="F27" s="4" t="s">
        <v>461</v>
      </c>
      <c r="G27" s="1" t="s">
        <v>478</v>
      </c>
      <c r="H27" s="5" t="s">
        <v>481</v>
      </c>
      <c r="I27" s="50" t="s">
        <v>675</v>
      </c>
      <c r="J27" s="7" t="s">
        <v>482</v>
      </c>
      <c r="K27" s="1" t="s">
        <v>17</v>
      </c>
      <c r="L27" s="6" t="s">
        <v>484</v>
      </c>
      <c r="M27" s="1" t="s">
        <v>15</v>
      </c>
      <c r="N27" s="1" t="s">
        <v>479</v>
      </c>
      <c r="O27" s="6" t="s">
        <v>488</v>
      </c>
      <c r="P27" s="6" t="s">
        <v>487</v>
      </c>
      <c r="Q27" s="1" t="s">
        <v>367</v>
      </c>
      <c r="R27" s="1" t="s">
        <v>485</v>
      </c>
      <c r="S27" s="1">
        <v>2014</v>
      </c>
      <c r="T27" s="1" t="s">
        <v>458</v>
      </c>
      <c r="U27" s="3" t="s">
        <v>459</v>
      </c>
    </row>
    <row r="28" spans="1:21" ht="72.5" x14ac:dyDescent="0.35">
      <c r="A28">
        <f t="shared" si="0"/>
        <v>27</v>
      </c>
      <c r="B28" s="25" t="s">
        <v>169</v>
      </c>
      <c r="C28" s="25" t="s">
        <v>654</v>
      </c>
      <c r="D28" s="25" t="s">
        <v>1096</v>
      </c>
      <c r="E28" s="25" t="s">
        <v>376</v>
      </c>
      <c r="F28" s="26" t="s">
        <v>170</v>
      </c>
      <c r="G28" s="27" t="s">
        <v>171</v>
      </c>
      <c r="H28" s="27" t="s">
        <v>172</v>
      </c>
      <c r="I28" s="25" t="s">
        <v>14</v>
      </c>
      <c r="J28" s="27" t="s">
        <v>173</v>
      </c>
      <c r="K28" s="25" t="s">
        <v>17</v>
      </c>
      <c r="L28" s="25"/>
      <c r="M28" s="25" t="s">
        <v>15</v>
      </c>
      <c r="N28" s="27" t="s">
        <v>174</v>
      </c>
      <c r="O28" s="25" t="s">
        <v>97</v>
      </c>
      <c r="P28" s="25"/>
      <c r="Q28" s="25"/>
      <c r="R28" s="25"/>
      <c r="S28" s="25">
        <v>2023</v>
      </c>
      <c r="T28" s="25" t="s">
        <v>254</v>
      </c>
      <c r="U28" s="28" t="s">
        <v>177</v>
      </c>
    </row>
    <row r="29" spans="1:21" ht="87" x14ac:dyDescent="0.35">
      <c r="A29">
        <f t="shared" si="0"/>
        <v>28</v>
      </c>
      <c r="B29" s="25" t="s">
        <v>168</v>
      </c>
      <c r="C29" s="25" t="s">
        <v>476</v>
      </c>
      <c r="D29" s="25" t="s">
        <v>1096</v>
      </c>
      <c r="E29" s="25" t="s">
        <v>376</v>
      </c>
      <c r="F29" s="26" t="s">
        <v>170</v>
      </c>
      <c r="G29" s="27" t="s">
        <v>175</v>
      </c>
      <c r="H29" s="29"/>
      <c r="I29" s="25" t="s">
        <v>14</v>
      </c>
      <c r="J29" s="25"/>
      <c r="K29" s="25" t="s">
        <v>17</v>
      </c>
      <c r="L29" s="25"/>
      <c r="M29" s="25" t="s">
        <v>15</v>
      </c>
      <c r="N29" s="27" t="s">
        <v>176</v>
      </c>
      <c r="O29" s="25"/>
      <c r="P29" s="25"/>
      <c r="Q29" s="25"/>
      <c r="R29" s="25"/>
      <c r="S29" s="25">
        <v>2023</v>
      </c>
      <c r="T29" s="25" t="s">
        <v>254</v>
      </c>
      <c r="U29" s="28" t="s">
        <v>177</v>
      </c>
    </row>
    <row r="30" spans="1:21" s="25" customFormat="1" ht="43.5" x14ac:dyDescent="0.35">
      <c r="A30">
        <f t="shared" si="0"/>
        <v>29</v>
      </c>
      <c r="B30" s="1" t="s">
        <v>199</v>
      </c>
      <c r="C30" s="1" t="s">
        <v>637</v>
      </c>
      <c r="D30" s="1" t="s">
        <v>469</v>
      </c>
      <c r="E30" s="1" t="s">
        <v>375</v>
      </c>
      <c r="F30" s="4" t="s">
        <v>1093</v>
      </c>
      <c r="G30" s="6" t="s">
        <v>203</v>
      </c>
      <c r="H30" s="1" t="s">
        <v>209</v>
      </c>
      <c r="I30" s="1" t="s">
        <v>20</v>
      </c>
      <c r="J30" s="9" t="s">
        <v>14</v>
      </c>
      <c r="K30" s="1" t="s">
        <v>17</v>
      </c>
      <c r="L30" s="1"/>
      <c r="M30" s="1" t="s">
        <v>15</v>
      </c>
      <c r="N30" s="6" t="s">
        <v>204</v>
      </c>
      <c r="O30" s="1" t="s">
        <v>97</v>
      </c>
      <c r="P30" s="6" t="s">
        <v>206</v>
      </c>
      <c r="Q30" s="1">
        <v>7</v>
      </c>
      <c r="R30" s="1"/>
      <c r="S30" s="1">
        <v>2024</v>
      </c>
      <c r="T30" s="1" t="s">
        <v>201</v>
      </c>
      <c r="U30" s="3" t="s">
        <v>202</v>
      </c>
    </row>
    <row r="31" spans="1:21" s="25" customFormat="1" ht="29" x14ac:dyDescent="0.35">
      <c r="A31">
        <f t="shared" si="0"/>
        <v>30</v>
      </c>
      <c r="B31" s="1" t="s">
        <v>200</v>
      </c>
      <c r="C31" s="1" t="s">
        <v>637</v>
      </c>
      <c r="D31" s="1" t="s">
        <v>469</v>
      </c>
      <c r="E31" s="1" t="s">
        <v>375</v>
      </c>
      <c r="F31" s="4" t="s">
        <v>1093</v>
      </c>
      <c r="G31" s="1" t="s">
        <v>373</v>
      </c>
      <c r="H31"/>
      <c r="I31" s="1" t="s">
        <v>20</v>
      </c>
      <c r="J31" s="9" t="s">
        <v>14</v>
      </c>
      <c r="K31" s="1" t="s">
        <v>17</v>
      </c>
      <c r="L31" s="1"/>
      <c r="M31" s="1" t="s">
        <v>15</v>
      </c>
      <c r="N31" s="1" t="s">
        <v>205</v>
      </c>
      <c r="O31" s="1"/>
      <c r="P31" s="6" t="s">
        <v>207</v>
      </c>
      <c r="Q31" s="1">
        <v>10</v>
      </c>
      <c r="R31" s="1"/>
      <c r="S31" s="1">
        <v>2024</v>
      </c>
      <c r="T31" s="1" t="s">
        <v>201</v>
      </c>
      <c r="U31" s="3" t="s">
        <v>202</v>
      </c>
    </row>
    <row r="32" spans="1:21" x14ac:dyDescent="0.35">
      <c r="A32">
        <f t="shared" si="0"/>
        <v>31</v>
      </c>
      <c r="B32" s="1" t="s">
        <v>208</v>
      </c>
      <c r="C32" s="1" t="s">
        <v>637</v>
      </c>
      <c r="D32" s="1" t="s">
        <v>469</v>
      </c>
      <c r="E32" s="1" t="s">
        <v>375</v>
      </c>
      <c r="F32" s="4" t="s">
        <v>1093</v>
      </c>
      <c r="G32" s="1" t="s">
        <v>209</v>
      </c>
      <c r="I32" s="1" t="s">
        <v>20</v>
      </c>
      <c r="K32" s="1" t="s">
        <v>17</v>
      </c>
      <c r="M32" s="1" t="s">
        <v>15</v>
      </c>
      <c r="N32" s="1" t="s">
        <v>96</v>
      </c>
      <c r="O32" s="1" t="s">
        <v>97</v>
      </c>
      <c r="S32" s="1">
        <v>2024</v>
      </c>
      <c r="T32" s="1" t="s">
        <v>201</v>
      </c>
      <c r="U32" s="3" t="s">
        <v>202</v>
      </c>
    </row>
    <row r="33" spans="1:21" ht="29" x14ac:dyDescent="0.35">
      <c r="A33">
        <f t="shared" si="0"/>
        <v>32</v>
      </c>
      <c r="B33" s="1" t="s">
        <v>212</v>
      </c>
      <c r="C33" s="1" t="s">
        <v>474</v>
      </c>
      <c r="D33" s="1" t="s">
        <v>473</v>
      </c>
      <c r="E33" s="1" t="s">
        <v>375</v>
      </c>
      <c r="F33" s="4" t="s">
        <v>217</v>
      </c>
      <c r="G33" s="1" t="s">
        <v>49</v>
      </c>
      <c r="I33" s="1" t="s">
        <v>20</v>
      </c>
      <c r="K33" s="1" t="s">
        <v>17</v>
      </c>
      <c r="M33" s="1" t="s">
        <v>216</v>
      </c>
      <c r="N33" s="1" t="s">
        <v>214</v>
      </c>
      <c r="O33" s="1" t="s">
        <v>55</v>
      </c>
      <c r="P33" s="6" t="s">
        <v>219</v>
      </c>
      <c r="S33" s="1">
        <v>2024</v>
      </c>
      <c r="T33" s="1" t="s">
        <v>210</v>
      </c>
      <c r="U33" s="3" t="s">
        <v>211</v>
      </c>
    </row>
    <row r="34" spans="1:21" ht="29" x14ac:dyDescent="0.35">
      <c r="A34">
        <f t="shared" si="0"/>
        <v>33</v>
      </c>
      <c r="B34" s="1" t="s">
        <v>213</v>
      </c>
      <c r="C34" s="1" t="s">
        <v>474</v>
      </c>
      <c r="D34" s="1" t="s">
        <v>473</v>
      </c>
      <c r="E34" s="1" t="s">
        <v>375</v>
      </c>
      <c r="F34" s="4" t="s">
        <v>217</v>
      </c>
      <c r="G34" s="1" t="s">
        <v>49</v>
      </c>
      <c r="I34" s="1" t="s">
        <v>20</v>
      </c>
      <c r="K34" s="1" t="s">
        <v>17</v>
      </c>
      <c r="M34" s="1" t="s">
        <v>216</v>
      </c>
      <c r="N34" s="1" t="s">
        <v>215</v>
      </c>
      <c r="O34" s="1" t="s">
        <v>28</v>
      </c>
      <c r="P34" s="6" t="s">
        <v>218</v>
      </c>
      <c r="S34" s="1">
        <v>2024</v>
      </c>
      <c r="T34" s="1" t="s">
        <v>210</v>
      </c>
      <c r="U34" s="3" t="s">
        <v>211</v>
      </c>
    </row>
    <row r="35" spans="1:21" x14ac:dyDescent="0.35">
      <c r="A35">
        <f t="shared" si="0"/>
        <v>34</v>
      </c>
      <c r="B35" s="1" t="s">
        <v>221</v>
      </c>
      <c r="C35" s="1" t="s">
        <v>870</v>
      </c>
      <c r="D35" s="1" t="s">
        <v>1097</v>
      </c>
      <c r="E35" s="1" t="s">
        <v>376</v>
      </c>
      <c r="F35" s="8" t="s">
        <v>224</v>
      </c>
      <c r="G35" t="s">
        <v>220</v>
      </c>
      <c r="I35" s="1" t="s">
        <v>128</v>
      </c>
      <c r="M35" s="1" t="s">
        <v>223</v>
      </c>
      <c r="N35" t="s">
        <v>222</v>
      </c>
      <c r="O35" s="1" t="s">
        <v>225</v>
      </c>
      <c r="S35" s="1">
        <v>2021</v>
      </c>
      <c r="T35" s="1" t="s">
        <v>226</v>
      </c>
      <c r="U35" s="3" t="s">
        <v>227</v>
      </c>
    </row>
    <row r="36" spans="1:21" x14ac:dyDescent="0.35">
      <c r="A36">
        <f t="shared" si="0"/>
        <v>35</v>
      </c>
      <c r="B36" s="1" t="s">
        <v>228</v>
      </c>
      <c r="C36" s="1" t="s">
        <v>870</v>
      </c>
      <c r="D36" t="s">
        <v>1098</v>
      </c>
      <c r="E36" s="1" t="s">
        <v>376</v>
      </c>
      <c r="F36" s="2" t="s">
        <v>232</v>
      </c>
      <c r="G36" s="1" t="s">
        <v>229</v>
      </c>
      <c r="I36" s="1" t="s">
        <v>128</v>
      </c>
      <c r="N36" s="1" t="s">
        <v>253</v>
      </c>
      <c r="O36" s="1" t="s">
        <v>97</v>
      </c>
      <c r="S36" s="1">
        <v>2019</v>
      </c>
      <c r="T36" s="1" t="s">
        <v>233</v>
      </c>
      <c r="U36" s="3" t="s">
        <v>234</v>
      </c>
    </row>
    <row r="37" spans="1:21" x14ac:dyDescent="0.35">
      <c r="A37">
        <f t="shared" si="0"/>
        <v>36</v>
      </c>
      <c r="B37" s="1" t="s">
        <v>230</v>
      </c>
      <c r="C37" s="1" t="s">
        <v>870</v>
      </c>
      <c r="D37" s="1" t="s">
        <v>1099</v>
      </c>
      <c r="E37" s="1" t="s">
        <v>376</v>
      </c>
      <c r="F37" s="2" t="s">
        <v>231</v>
      </c>
      <c r="G37" s="1" t="s">
        <v>229</v>
      </c>
      <c r="I37" s="1" t="s">
        <v>128</v>
      </c>
      <c r="M37" s="1" t="s">
        <v>223</v>
      </c>
      <c r="N37" s="1" t="s">
        <v>253</v>
      </c>
      <c r="O37" s="1" t="s">
        <v>97</v>
      </c>
      <c r="S37" s="1">
        <v>2016</v>
      </c>
      <c r="T37" s="1" t="s">
        <v>252</v>
      </c>
      <c r="U37" s="3" t="s">
        <v>251</v>
      </c>
    </row>
    <row r="38" spans="1:21" x14ac:dyDescent="0.35">
      <c r="A38">
        <f t="shared" si="0"/>
        <v>37</v>
      </c>
      <c r="B38" s="1" t="s">
        <v>235</v>
      </c>
      <c r="C38" s="1" t="s">
        <v>870</v>
      </c>
      <c r="D38" t="s">
        <v>1100</v>
      </c>
      <c r="E38" s="1" t="s">
        <v>376</v>
      </c>
      <c r="F38" s="4" t="s">
        <v>236</v>
      </c>
      <c r="G38" s="1" t="s">
        <v>229</v>
      </c>
      <c r="I38" s="1" t="s">
        <v>20</v>
      </c>
      <c r="M38" s="1" t="s">
        <v>15</v>
      </c>
      <c r="N38" s="1" t="s">
        <v>237</v>
      </c>
      <c r="O38" s="1" t="s">
        <v>97</v>
      </c>
      <c r="S38" s="1">
        <v>2023</v>
      </c>
      <c r="T38" s="1" t="s">
        <v>238</v>
      </c>
      <c r="U38" s="3" t="s">
        <v>239</v>
      </c>
    </row>
    <row r="39" spans="1:21" ht="87" x14ac:dyDescent="0.35">
      <c r="A39">
        <f t="shared" si="0"/>
        <v>38</v>
      </c>
      <c r="B39" s="17" t="s">
        <v>242</v>
      </c>
      <c r="C39" s="17" t="s">
        <v>870</v>
      </c>
      <c r="D39" s="17" t="s">
        <v>473</v>
      </c>
      <c r="E39" s="17" t="s">
        <v>375</v>
      </c>
      <c r="F39" s="18" t="s">
        <v>243</v>
      </c>
      <c r="G39" s="17" t="s">
        <v>229</v>
      </c>
      <c r="H39" s="23" t="s">
        <v>247</v>
      </c>
      <c r="I39" s="17" t="s">
        <v>128</v>
      </c>
      <c r="J39" s="19" t="s">
        <v>249</v>
      </c>
      <c r="K39" s="17" t="s">
        <v>245</v>
      </c>
      <c r="L39" s="17" t="s">
        <v>246</v>
      </c>
      <c r="M39" s="17" t="s">
        <v>244</v>
      </c>
      <c r="N39" s="19" t="s">
        <v>248</v>
      </c>
      <c r="O39" s="17" t="s">
        <v>97</v>
      </c>
      <c r="P39" s="19" t="s">
        <v>250</v>
      </c>
      <c r="Q39" s="17">
        <v>8.6</v>
      </c>
      <c r="R39" s="17"/>
      <c r="S39" s="17">
        <v>2018</v>
      </c>
      <c r="T39" s="17" t="s">
        <v>241</v>
      </c>
      <c r="U39" s="21" t="s">
        <v>240</v>
      </c>
    </row>
    <row r="40" spans="1:21" ht="130.5" x14ac:dyDescent="0.35">
      <c r="A40">
        <f t="shared" si="0"/>
        <v>39</v>
      </c>
      <c r="B40" s="1" t="s">
        <v>506</v>
      </c>
      <c r="C40" s="1" t="s">
        <v>476</v>
      </c>
      <c r="D40" s="1" t="s">
        <v>662</v>
      </c>
      <c r="E40" s="1" t="s">
        <v>375</v>
      </c>
      <c r="F40" s="4" t="s">
        <v>255</v>
      </c>
      <c r="G40" s="1" t="s">
        <v>13</v>
      </c>
      <c r="I40" s="1" t="s">
        <v>14</v>
      </c>
      <c r="J40" s="7" t="s">
        <v>259</v>
      </c>
      <c r="K40" s="1" t="s">
        <v>17</v>
      </c>
      <c r="L40" s="15" t="s">
        <v>514</v>
      </c>
      <c r="M40" s="1" t="s">
        <v>15</v>
      </c>
      <c r="N40" s="1" t="s">
        <v>258</v>
      </c>
      <c r="O40" s="1" t="s">
        <v>97</v>
      </c>
      <c r="P40" s="6" t="s">
        <v>513</v>
      </c>
      <c r="Q40" s="1">
        <v>8</v>
      </c>
      <c r="R40" s="1" t="s">
        <v>260</v>
      </c>
      <c r="S40" s="1">
        <v>2023</v>
      </c>
      <c r="T40" s="1" t="s">
        <v>256</v>
      </c>
      <c r="U40" s="3" t="s">
        <v>257</v>
      </c>
    </row>
    <row r="41" spans="1:21" s="17" customFormat="1" ht="130.5" x14ac:dyDescent="0.35">
      <c r="A41">
        <f t="shared" si="0"/>
        <v>40</v>
      </c>
      <c r="B41" s="1" t="s">
        <v>507</v>
      </c>
      <c r="C41" s="1" t="s">
        <v>476</v>
      </c>
      <c r="D41" s="1" t="s">
        <v>662</v>
      </c>
      <c r="E41" s="1" t="s">
        <v>375</v>
      </c>
      <c r="F41" s="4" t="s">
        <v>255</v>
      </c>
      <c r="G41" s="1" t="s">
        <v>13</v>
      </c>
      <c r="H41"/>
      <c r="I41" s="1" t="s">
        <v>14</v>
      </c>
      <c r="J41" s="7" t="s">
        <v>259</v>
      </c>
      <c r="K41" s="1" t="s">
        <v>17</v>
      </c>
      <c r="L41" s="15" t="s">
        <v>515</v>
      </c>
      <c r="M41" s="1" t="s">
        <v>15</v>
      </c>
      <c r="N41" s="1" t="s">
        <v>258</v>
      </c>
      <c r="O41" s="1" t="s">
        <v>97</v>
      </c>
      <c r="P41" s="6" t="s">
        <v>510</v>
      </c>
      <c r="Q41" s="1">
        <v>8</v>
      </c>
      <c r="R41" s="1" t="s">
        <v>260</v>
      </c>
      <c r="S41" s="1">
        <v>2023</v>
      </c>
      <c r="T41" s="1" t="s">
        <v>256</v>
      </c>
      <c r="U41" s="3" t="s">
        <v>257</v>
      </c>
    </row>
    <row r="42" spans="1:21" ht="130.5" x14ac:dyDescent="0.35">
      <c r="A42">
        <f t="shared" si="0"/>
        <v>41</v>
      </c>
      <c r="B42" s="1" t="s">
        <v>508</v>
      </c>
      <c r="C42" s="1" t="s">
        <v>476</v>
      </c>
      <c r="D42" s="1" t="s">
        <v>662</v>
      </c>
      <c r="E42" s="1" t="s">
        <v>375</v>
      </c>
      <c r="F42" s="4" t="s">
        <v>255</v>
      </c>
      <c r="G42" s="1" t="s">
        <v>13</v>
      </c>
      <c r="I42" s="1" t="s">
        <v>14</v>
      </c>
      <c r="J42" s="7" t="s">
        <v>259</v>
      </c>
      <c r="K42" s="1" t="s">
        <v>17</v>
      </c>
      <c r="L42" s="15" t="s">
        <v>515</v>
      </c>
      <c r="M42" s="1" t="s">
        <v>15</v>
      </c>
      <c r="N42" s="1" t="s">
        <v>258</v>
      </c>
      <c r="O42" s="1" t="s">
        <v>97</v>
      </c>
      <c r="P42" s="6" t="s">
        <v>511</v>
      </c>
      <c r="Q42" s="1">
        <v>8</v>
      </c>
      <c r="R42" s="1" t="s">
        <v>260</v>
      </c>
      <c r="S42" s="1">
        <v>2023</v>
      </c>
      <c r="T42" s="1" t="s">
        <v>256</v>
      </c>
      <c r="U42" s="3" t="s">
        <v>257</v>
      </c>
    </row>
    <row r="43" spans="1:21" ht="130.5" x14ac:dyDescent="0.35">
      <c r="A43">
        <f t="shared" si="0"/>
        <v>42</v>
      </c>
      <c r="B43" s="1" t="s">
        <v>509</v>
      </c>
      <c r="C43" s="1" t="s">
        <v>476</v>
      </c>
      <c r="D43" s="1" t="s">
        <v>662</v>
      </c>
      <c r="E43" s="1" t="s">
        <v>375</v>
      </c>
      <c r="F43" s="4" t="s">
        <v>255</v>
      </c>
      <c r="G43" s="1" t="s">
        <v>13</v>
      </c>
      <c r="I43" s="1" t="s">
        <v>14</v>
      </c>
      <c r="J43" s="7" t="s">
        <v>259</v>
      </c>
      <c r="K43" s="1" t="s">
        <v>17</v>
      </c>
      <c r="L43" s="15" t="s">
        <v>516</v>
      </c>
      <c r="M43" s="1" t="s">
        <v>15</v>
      </c>
      <c r="N43" s="1" t="s">
        <v>258</v>
      </c>
      <c r="O43" s="1" t="s">
        <v>97</v>
      </c>
      <c r="P43" s="6" t="s">
        <v>512</v>
      </c>
      <c r="Q43" s="1">
        <v>8</v>
      </c>
      <c r="R43" s="1" t="s">
        <v>260</v>
      </c>
      <c r="S43" s="1">
        <v>2023</v>
      </c>
      <c r="T43" s="1" t="s">
        <v>256</v>
      </c>
      <c r="U43" s="3" t="s">
        <v>257</v>
      </c>
    </row>
    <row r="44" spans="1:21" ht="43.5" x14ac:dyDescent="0.35">
      <c r="A44">
        <f t="shared" si="0"/>
        <v>43</v>
      </c>
      <c r="B44" s="1" t="s">
        <v>261</v>
      </c>
      <c r="C44" s="1" t="s">
        <v>476</v>
      </c>
      <c r="D44" s="1" t="s">
        <v>662</v>
      </c>
      <c r="E44" s="1" t="s">
        <v>375</v>
      </c>
      <c r="F44" s="4" t="s">
        <v>12</v>
      </c>
      <c r="G44" s="1" t="s">
        <v>13</v>
      </c>
      <c r="I44" s="1" t="s">
        <v>14</v>
      </c>
      <c r="J44" s="7" t="s">
        <v>259</v>
      </c>
      <c r="M44" s="1" t="s">
        <v>15</v>
      </c>
      <c r="N44" s="1" t="s">
        <v>258</v>
      </c>
      <c r="O44" s="1" t="s">
        <v>97</v>
      </c>
      <c r="P44" s="6" t="s">
        <v>262</v>
      </c>
      <c r="S44" s="1">
        <v>2001</v>
      </c>
      <c r="T44" s="1" t="s">
        <v>263</v>
      </c>
      <c r="U44" s="3" t="s">
        <v>264</v>
      </c>
    </row>
    <row r="45" spans="1:21" ht="43.5" x14ac:dyDescent="0.35">
      <c r="A45">
        <f t="shared" si="0"/>
        <v>44</v>
      </c>
      <c r="B45" s="1" t="s">
        <v>834</v>
      </c>
      <c r="C45" s="1" t="s">
        <v>474</v>
      </c>
      <c r="D45" s="1" t="s">
        <v>475</v>
      </c>
      <c r="E45" s="1" t="s">
        <v>375</v>
      </c>
      <c r="F45" s="4" t="s">
        <v>265</v>
      </c>
      <c r="G45" s="6" t="s">
        <v>266</v>
      </c>
      <c r="H45" s="11" t="s">
        <v>267</v>
      </c>
      <c r="I45" s="1" t="s">
        <v>20</v>
      </c>
      <c r="J45" s="7" t="s">
        <v>268</v>
      </c>
      <c r="K45" s="1" t="s">
        <v>17</v>
      </c>
      <c r="M45" s="1" t="s">
        <v>216</v>
      </c>
      <c r="N45" s="6" t="s">
        <v>269</v>
      </c>
      <c r="O45" s="1" t="s">
        <v>55</v>
      </c>
      <c r="P45" s="6" t="s">
        <v>271</v>
      </c>
      <c r="S45" s="1">
        <v>2019</v>
      </c>
      <c r="T45" s="1" t="s">
        <v>117</v>
      </c>
      <c r="U45" s="16" t="s">
        <v>270</v>
      </c>
    </row>
    <row r="46" spans="1:21" ht="116" x14ac:dyDescent="0.35">
      <c r="A46">
        <f t="shared" si="0"/>
        <v>45</v>
      </c>
      <c r="B46" s="17" t="s">
        <v>278</v>
      </c>
      <c r="C46" s="17" t="s">
        <v>476</v>
      </c>
      <c r="D46" s="17" t="s">
        <v>1018</v>
      </c>
      <c r="E46" s="17" t="s">
        <v>375</v>
      </c>
      <c r="F46" s="18" t="s">
        <v>274</v>
      </c>
      <c r="G46" s="17" t="s">
        <v>13</v>
      </c>
      <c r="H46" s="22" t="s">
        <v>275</v>
      </c>
      <c r="I46" s="17" t="s">
        <v>276</v>
      </c>
      <c r="J46" s="19" t="s">
        <v>277</v>
      </c>
      <c r="K46" s="17" t="s">
        <v>17</v>
      </c>
      <c r="L46" s="19" t="s">
        <v>279</v>
      </c>
      <c r="M46" s="19" t="s">
        <v>282</v>
      </c>
      <c r="N46" s="17" t="s">
        <v>281</v>
      </c>
      <c r="O46" s="17" t="s">
        <v>97</v>
      </c>
      <c r="P46" s="19" t="s">
        <v>280</v>
      </c>
      <c r="Q46" s="17"/>
      <c r="R46" s="17"/>
      <c r="S46" s="17">
        <v>2006</v>
      </c>
      <c r="T46" s="17" t="s">
        <v>273</v>
      </c>
      <c r="U46" s="21" t="s">
        <v>272</v>
      </c>
    </row>
    <row r="47" spans="1:21" ht="203" x14ac:dyDescent="0.35">
      <c r="A47">
        <f t="shared" si="0"/>
        <v>46</v>
      </c>
      <c r="B47" s="1" t="s">
        <v>379</v>
      </c>
      <c r="C47" s="1" t="s">
        <v>468</v>
      </c>
      <c r="D47" s="1" t="s">
        <v>467</v>
      </c>
      <c r="E47" s="1" t="s">
        <v>375</v>
      </c>
      <c r="F47" s="4" t="s">
        <v>283</v>
      </c>
      <c r="G47" s="1" t="s">
        <v>284</v>
      </c>
      <c r="H47" s="5" t="s">
        <v>285</v>
      </c>
      <c r="I47" s="1" t="s">
        <v>20</v>
      </c>
      <c r="J47" s="6" t="s">
        <v>286</v>
      </c>
      <c r="K47" s="1" t="s">
        <v>17</v>
      </c>
      <c r="L47" s="6" t="s">
        <v>288</v>
      </c>
      <c r="M47" s="1" t="s">
        <v>15</v>
      </c>
      <c r="N47" s="1" t="s">
        <v>287</v>
      </c>
      <c r="O47" s="1" t="s">
        <v>55</v>
      </c>
      <c r="P47" s="6" t="s">
        <v>289</v>
      </c>
      <c r="Q47" s="1">
        <v>9</v>
      </c>
      <c r="S47" s="1">
        <v>2014</v>
      </c>
      <c r="T47" s="1" t="s">
        <v>290</v>
      </c>
      <c r="U47" s="3" t="s">
        <v>291</v>
      </c>
    </row>
    <row r="48" spans="1:21" s="17" customFormat="1" ht="72.5" x14ac:dyDescent="0.35">
      <c r="A48">
        <f t="shared" si="0"/>
        <v>47</v>
      </c>
      <c r="B48" s="1" t="s">
        <v>295</v>
      </c>
      <c r="C48" s="1" t="s">
        <v>474</v>
      </c>
      <c r="D48" s="1" t="s">
        <v>467</v>
      </c>
      <c r="E48" s="1" t="s">
        <v>375</v>
      </c>
      <c r="F48" s="4" t="s">
        <v>292</v>
      </c>
      <c r="G48" s="6" t="s">
        <v>297</v>
      </c>
      <c r="H48" s="11" t="s">
        <v>298</v>
      </c>
      <c r="I48" s="1" t="s">
        <v>14</v>
      </c>
      <c r="J48" s="1"/>
      <c r="K48" s="1"/>
      <c r="L48" s="1"/>
      <c r="M48" s="1" t="s">
        <v>15</v>
      </c>
      <c r="N48" s="1" t="s">
        <v>296</v>
      </c>
      <c r="O48" s="1" t="s">
        <v>1025</v>
      </c>
      <c r="P48" s="1"/>
      <c r="Q48" s="1" t="s">
        <v>299</v>
      </c>
      <c r="R48" s="1" t="s">
        <v>300</v>
      </c>
      <c r="S48" s="1">
        <v>2024</v>
      </c>
      <c r="T48" s="1" t="s">
        <v>293</v>
      </c>
      <c r="U48" s="3" t="s">
        <v>294</v>
      </c>
    </row>
    <row r="49" spans="1:21" x14ac:dyDescent="0.35">
      <c r="A49">
        <f t="shared" si="0"/>
        <v>48</v>
      </c>
      <c r="B49" s="1" t="s">
        <v>380</v>
      </c>
      <c r="C49" s="1" t="s">
        <v>310</v>
      </c>
      <c r="D49" s="1" t="s">
        <v>1015</v>
      </c>
      <c r="E49" s="1" t="s">
        <v>375</v>
      </c>
      <c r="F49" s="4" t="s">
        <v>302</v>
      </c>
      <c r="G49" s="1" t="s">
        <v>301</v>
      </c>
      <c r="I49" s="1" t="s">
        <v>276</v>
      </c>
      <c r="M49" s="4" t="s">
        <v>304</v>
      </c>
      <c r="N49" s="1" t="s">
        <v>303</v>
      </c>
      <c r="S49" s="1">
        <v>2006</v>
      </c>
      <c r="T49" s="1" t="s">
        <v>305</v>
      </c>
      <c r="U49" s="3" t="s">
        <v>306</v>
      </c>
    </row>
    <row r="50" spans="1:21" x14ac:dyDescent="0.35">
      <c r="A50">
        <f t="shared" si="0"/>
        <v>49</v>
      </c>
      <c r="B50" s="1" t="s">
        <v>381</v>
      </c>
      <c r="C50" s="1" t="s">
        <v>310</v>
      </c>
      <c r="D50" s="1" t="s">
        <v>1015</v>
      </c>
      <c r="E50" s="1" t="s">
        <v>375</v>
      </c>
      <c r="F50" s="4" t="s">
        <v>302</v>
      </c>
      <c r="G50" s="1" t="s">
        <v>301</v>
      </c>
      <c r="I50" s="1" t="s">
        <v>1132</v>
      </c>
      <c r="K50" s="1" t="s">
        <v>17</v>
      </c>
      <c r="M50" s="4" t="s">
        <v>304</v>
      </c>
      <c r="N50" s="1" t="s">
        <v>307</v>
      </c>
      <c r="S50" s="1">
        <v>2003</v>
      </c>
      <c r="T50" s="1" t="s">
        <v>315</v>
      </c>
      <c r="U50" s="3" t="s">
        <v>314</v>
      </c>
    </row>
    <row r="51" spans="1:21" x14ac:dyDescent="0.35">
      <c r="A51">
        <f t="shared" si="0"/>
        <v>50</v>
      </c>
      <c r="B51" s="1" t="s">
        <v>308</v>
      </c>
      <c r="C51" s="1" t="s">
        <v>310</v>
      </c>
      <c r="D51" s="1" t="s">
        <v>1015</v>
      </c>
      <c r="E51" s="1" t="s">
        <v>375</v>
      </c>
      <c r="F51" s="4" t="s">
        <v>309</v>
      </c>
      <c r="G51" s="1" t="s">
        <v>310</v>
      </c>
      <c r="I51" s="1" t="s">
        <v>633</v>
      </c>
      <c r="M51" s="4" t="s">
        <v>302</v>
      </c>
      <c r="N51" s="1" t="s">
        <v>311</v>
      </c>
      <c r="S51" s="1">
        <v>2017</v>
      </c>
      <c r="T51" s="1" t="s">
        <v>312</v>
      </c>
      <c r="U51" s="3" t="s">
        <v>313</v>
      </c>
    </row>
    <row r="52" spans="1:21" ht="159.5" x14ac:dyDescent="0.35">
      <c r="A52">
        <f t="shared" si="0"/>
        <v>51</v>
      </c>
      <c r="B52" s="1" t="s">
        <v>317</v>
      </c>
      <c r="C52" s="1" t="s">
        <v>637</v>
      </c>
      <c r="D52" s="1" t="s">
        <v>1017</v>
      </c>
      <c r="E52" s="1" t="s">
        <v>375</v>
      </c>
      <c r="F52" s="4" t="s">
        <v>316</v>
      </c>
      <c r="G52" s="1" t="s">
        <v>321</v>
      </c>
      <c r="H52" s="6" t="s">
        <v>324</v>
      </c>
      <c r="I52" s="1" t="s">
        <v>20</v>
      </c>
      <c r="K52" s="1" t="s">
        <v>17</v>
      </c>
      <c r="L52" s="7" t="s">
        <v>320</v>
      </c>
      <c r="M52" s="1" t="s">
        <v>322</v>
      </c>
      <c r="N52" s="6" t="s">
        <v>325</v>
      </c>
      <c r="O52" s="1" t="s">
        <v>97</v>
      </c>
      <c r="P52" s="1" t="s">
        <v>323</v>
      </c>
      <c r="Q52" s="1">
        <v>7</v>
      </c>
      <c r="S52" s="1">
        <v>2012</v>
      </c>
      <c r="T52" s="1" t="s">
        <v>319</v>
      </c>
      <c r="U52" s="3" t="s">
        <v>318</v>
      </c>
    </row>
    <row r="53" spans="1:21" x14ac:dyDescent="0.35">
      <c r="A53">
        <f t="shared" si="0"/>
        <v>52</v>
      </c>
      <c r="B53" s="1" t="s">
        <v>328</v>
      </c>
      <c r="C53" s="1" t="s">
        <v>870</v>
      </c>
      <c r="D53" s="1" t="s">
        <v>1017</v>
      </c>
      <c r="E53" s="1" t="s">
        <v>375</v>
      </c>
      <c r="F53" s="4" t="s">
        <v>329</v>
      </c>
      <c r="G53" s="1" t="s">
        <v>327</v>
      </c>
      <c r="I53" s="1" t="s">
        <v>14</v>
      </c>
      <c r="K53" s="1" t="s">
        <v>17</v>
      </c>
      <c r="M53" s="1" t="s">
        <v>330</v>
      </c>
      <c r="N53" s="1" t="s">
        <v>331</v>
      </c>
      <c r="O53" s="1" t="s">
        <v>97</v>
      </c>
      <c r="S53" s="1">
        <v>2024</v>
      </c>
      <c r="T53" s="1" t="s">
        <v>333</v>
      </c>
      <c r="U53" s="3" t="s">
        <v>332</v>
      </c>
    </row>
    <row r="54" spans="1:21" x14ac:dyDescent="0.35">
      <c r="A54">
        <f t="shared" si="0"/>
        <v>53</v>
      </c>
      <c r="B54" s="1" t="s">
        <v>382</v>
      </c>
      <c r="C54" s="1" t="s">
        <v>310</v>
      </c>
      <c r="D54" s="1" t="s">
        <v>1018</v>
      </c>
      <c r="E54" s="1" t="s">
        <v>375</v>
      </c>
      <c r="F54" s="4" t="s">
        <v>274</v>
      </c>
      <c r="G54" s="1" t="s">
        <v>310</v>
      </c>
      <c r="I54" s="1" t="s">
        <v>385</v>
      </c>
      <c r="N54" s="1" t="s">
        <v>337</v>
      </c>
      <c r="O54" s="1" t="s">
        <v>55</v>
      </c>
      <c r="S54" s="1">
        <v>2009</v>
      </c>
      <c r="T54" s="1" t="s">
        <v>335</v>
      </c>
      <c r="U54" s="3" t="s">
        <v>336</v>
      </c>
    </row>
    <row r="55" spans="1:21" x14ac:dyDescent="0.35">
      <c r="A55">
        <f t="shared" si="0"/>
        <v>54</v>
      </c>
      <c r="B55" s="1" t="s">
        <v>334</v>
      </c>
      <c r="C55" s="1" t="s">
        <v>310</v>
      </c>
      <c r="D55" s="1" t="s">
        <v>1018</v>
      </c>
      <c r="E55" s="1" t="s">
        <v>375</v>
      </c>
      <c r="F55" s="4" t="s">
        <v>274</v>
      </c>
      <c r="G55" s="1" t="s">
        <v>310</v>
      </c>
      <c r="I55" s="1" t="s">
        <v>276</v>
      </c>
      <c r="N55" s="1" t="s">
        <v>338</v>
      </c>
      <c r="O55" s="1" t="s">
        <v>55</v>
      </c>
      <c r="S55" s="1">
        <v>2009</v>
      </c>
      <c r="T55" s="1" t="s">
        <v>335</v>
      </c>
      <c r="U55" s="3" t="s">
        <v>336</v>
      </c>
    </row>
    <row r="56" spans="1:21" ht="319" x14ac:dyDescent="0.35">
      <c r="A56">
        <f t="shared" si="0"/>
        <v>55</v>
      </c>
      <c r="B56" s="1" t="s">
        <v>339</v>
      </c>
      <c r="C56" s="1" t="s">
        <v>468</v>
      </c>
      <c r="D56" s="1" t="s">
        <v>475</v>
      </c>
      <c r="E56" s="1" t="s">
        <v>375</v>
      </c>
      <c r="F56" s="4" t="s">
        <v>340</v>
      </c>
      <c r="G56" s="6" t="s">
        <v>1090</v>
      </c>
      <c r="H56" s="7" t="s">
        <v>1091</v>
      </c>
      <c r="I56" s="1" t="s">
        <v>20</v>
      </c>
      <c r="J56" s="47"/>
      <c r="K56" s="6" t="s">
        <v>1085</v>
      </c>
      <c r="L56" s="6" t="s">
        <v>1084</v>
      </c>
      <c r="M56" s="1" t="s">
        <v>15</v>
      </c>
      <c r="N56" s="6" t="s">
        <v>1086</v>
      </c>
      <c r="O56" s="6" t="s">
        <v>1087</v>
      </c>
      <c r="P56" s="6" t="s">
        <v>1088</v>
      </c>
      <c r="Q56" s="6" t="s">
        <v>1089</v>
      </c>
      <c r="S56" s="1">
        <v>2020</v>
      </c>
      <c r="T56" s="1" t="s">
        <v>341</v>
      </c>
      <c r="U56" s="3" t="s">
        <v>342</v>
      </c>
    </row>
    <row r="57" spans="1:21" x14ac:dyDescent="0.35">
      <c r="A57">
        <f t="shared" si="0"/>
        <v>56</v>
      </c>
      <c r="B57" s="1" t="s">
        <v>343</v>
      </c>
      <c r="C57" s="1" t="s">
        <v>871</v>
      </c>
      <c r="D57" t="s">
        <v>1101</v>
      </c>
      <c r="E57" s="1" t="s">
        <v>376</v>
      </c>
      <c r="F57" s="4" t="s">
        <v>344</v>
      </c>
      <c r="G57" s="1" t="s">
        <v>1019</v>
      </c>
      <c r="I57" s="1" t="s">
        <v>128</v>
      </c>
      <c r="M57" s="4" t="s">
        <v>355</v>
      </c>
      <c r="N57" s="1" t="s">
        <v>1020</v>
      </c>
      <c r="O57" s="1" t="s">
        <v>84</v>
      </c>
      <c r="S57" s="1">
        <v>2018</v>
      </c>
      <c r="T57" s="1" t="s">
        <v>348</v>
      </c>
      <c r="U57" s="3" t="s">
        <v>347</v>
      </c>
    </row>
    <row r="58" spans="1:21" x14ac:dyDescent="0.35">
      <c r="A58">
        <f t="shared" si="0"/>
        <v>57</v>
      </c>
      <c r="B58" s="1" t="s">
        <v>345</v>
      </c>
      <c r="C58" s="1" t="s">
        <v>871</v>
      </c>
      <c r="D58" t="s">
        <v>1102</v>
      </c>
      <c r="E58" s="1" t="s">
        <v>376</v>
      </c>
      <c r="F58" s="4" t="s">
        <v>346</v>
      </c>
      <c r="G58" s="1" t="s">
        <v>1019</v>
      </c>
      <c r="I58" s="1" t="s">
        <v>128</v>
      </c>
      <c r="M58" s="4" t="s">
        <v>355</v>
      </c>
      <c r="N58" s="1" t="s">
        <v>1020</v>
      </c>
      <c r="O58" s="1" t="s">
        <v>84</v>
      </c>
      <c r="S58" s="1">
        <v>2018</v>
      </c>
      <c r="T58" s="1" t="s">
        <v>348</v>
      </c>
      <c r="U58" s="3" t="s">
        <v>347</v>
      </c>
    </row>
    <row r="59" spans="1:21" ht="29" x14ac:dyDescent="0.35">
      <c r="A59">
        <f t="shared" si="0"/>
        <v>58</v>
      </c>
      <c r="B59" s="1" t="s">
        <v>349</v>
      </c>
      <c r="C59" s="1" t="s">
        <v>870</v>
      </c>
      <c r="D59" t="s">
        <v>1095</v>
      </c>
      <c r="E59" s="1" t="s">
        <v>376</v>
      </c>
      <c r="F59" s="4" t="s">
        <v>350</v>
      </c>
      <c r="G59" s="6" t="s">
        <v>353</v>
      </c>
      <c r="I59" s="1" t="s">
        <v>128</v>
      </c>
      <c r="K59" s="1" t="s">
        <v>17</v>
      </c>
      <c r="M59" s="4" t="s">
        <v>355</v>
      </c>
      <c r="N59" s="6" t="s">
        <v>354</v>
      </c>
      <c r="O59" s="1" t="s">
        <v>84</v>
      </c>
      <c r="S59" s="1">
        <v>2012</v>
      </c>
      <c r="T59" s="1" t="s">
        <v>351</v>
      </c>
      <c r="U59" s="3" t="s">
        <v>352</v>
      </c>
    </row>
    <row r="60" spans="1:21" ht="43.5" x14ac:dyDescent="0.35">
      <c r="A60">
        <f t="shared" si="0"/>
        <v>59</v>
      </c>
      <c r="B60" s="1" t="s">
        <v>356</v>
      </c>
      <c r="C60" s="1" t="s">
        <v>476</v>
      </c>
      <c r="D60" t="s">
        <v>1103</v>
      </c>
      <c r="E60" s="1" t="s">
        <v>376</v>
      </c>
      <c r="F60" s="4" t="s">
        <v>357</v>
      </c>
      <c r="G60" s="1" t="s">
        <v>13</v>
      </c>
      <c r="I60" s="6" t="s">
        <v>360</v>
      </c>
      <c r="N60" s="6" t="s">
        <v>362</v>
      </c>
      <c r="S60" s="1">
        <v>2000</v>
      </c>
      <c r="T60" s="1" t="s">
        <v>363</v>
      </c>
      <c r="U60" s="3" t="s">
        <v>364</v>
      </c>
    </row>
    <row r="61" spans="1:21" ht="43.5" x14ac:dyDescent="0.35">
      <c r="A61">
        <f t="shared" si="0"/>
        <v>60</v>
      </c>
      <c r="B61" s="1" t="s">
        <v>358</v>
      </c>
      <c r="C61" s="1" t="s">
        <v>476</v>
      </c>
      <c r="D61" t="s">
        <v>1103</v>
      </c>
      <c r="E61" s="1" t="s">
        <v>376</v>
      </c>
      <c r="F61" s="4" t="s">
        <v>359</v>
      </c>
      <c r="G61" s="1" t="s">
        <v>13</v>
      </c>
      <c r="I61" s="6" t="s">
        <v>360</v>
      </c>
      <c r="M61" s="1" t="s">
        <v>361</v>
      </c>
      <c r="N61" s="6" t="s">
        <v>362</v>
      </c>
      <c r="S61" s="1">
        <v>2000</v>
      </c>
      <c r="T61" s="1" t="s">
        <v>363</v>
      </c>
      <c r="U61" s="3" t="s">
        <v>364</v>
      </c>
    </row>
    <row r="62" spans="1:21" ht="145" x14ac:dyDescent="0.35">
      <c r="A62">
        <f t="shared" si="0"/>
        <v>61</v>
      </c>
      <c r="B62" s="1" t="s">
        <v>366</v>
      </c>
      <c r="C62" s="1" t="s">
        <v>468</v>
      </c>
      <c r="D62" s="1" t="s">
        <v>467</v>
      </c>
      <c r="E62" s="1" t="s">
        <v>375</v>
      </c>
      <c r="F62" s="4" t="s">
        <v>292</v>
      </c>
      <c r="G62" s="6" t="s">
        <v>752</v>
      </c>
      <c r="H62" s="6" t="s">
        <v>753</v>
      </c>
      <c r="I62" s="1" t="s">
        <v>20</v>
      </c>
      <c r="J62" s="7" t="s">
        <v>186</v>
      </c>
      <c r="K62" s="1" t="s">
        <v>17</v>
      </c>
      <c r="L62" s="6" t="s">
        <v>368</v>
      </c>
      <c r="M62" s="1" t="s">
        <v>330</v>
      </c>
      <c r="N62" s="6" t="s">
        <v>370</v>
      </c>
      <c r="O62" s="1" t="s">
        <v>371</v>
      </c>
      <c r="P62" s="6" t="s">
        <v>369</v>
      </c>
      <c r="Q62" s="1" t="s">
        <v>367</v>
      </c>
      <c r="R62" s="1" t="s">
        <v>63</v>
      </c>
      <c r="S62" s="1">
        <v>2023</v>
      </c>
      <c r="T62" s="1" t="s">
        <v>256</v>
      </c>
      <c r="U62" s="3" t="s">
        <v>372</v>
      </c>
    </row>
    <row r="63" spans="1:21" x14ac:dyDescent="0.35">
      <c r="A63">
        <f t="shared" si="0"/>
        <v>62</v>
      </c>
      <c r="B63" s="1" t="s">
        <v>383</v>
      </c>
      <c r="C63" s="1" t="s">
        <v>310</v>
      </c>
      <c r="D63" s="1" t="s">
        <v>1018</v>
      </c>
      <c r="E63" s="1" t="s">
        <v>375</v>
      </c>
      <c r="F63" s="4" t="s">
        <v>384</v>
      </c>
      <c r="G63" s="1" t="s">
        <v>301</v>
      </c>
      <c r="I63" s="1" t="s">
        <v>385</v>
      </c>
      <c r="K63" s="1" t="s">
        <v>17</v>
      </c>
      <c r="N63" s="1" t="s">
        <v>307</v>
      </c>
      <c r="S63" s="1">
        <v>2023</v>
      </c>
      <c r="T63" s="1" t="s">
        <v>386</v>
      </c>
      <c r="U63" s="3" t="s">
        <v>387</v>
      </c>
    </row>
    <row r="64" spans="1:21" ht="217.5" x14ac:dyDescent="0.35">
      <c r="A64">
        <f t="shared" si="0"/>
        <v>63</v>
      </c>
      <c r="B64" s="1" t="s">
        <v>388</v>
      </c>
      <c r="C64" s="1" t="s">
        <v>468</v>
      </c>
      <c r="D64" s="1" t="s">
        <v>467</v>
      </c>
      <c r="E64" s="1" t="s">
        <v>375</v>
      </c>
      <c r="F64" s="4" t="s">
        <v>21</v>
      </c>
      <c r="G64" s="6" t="s">
        <v>389</v>
      </c>
      <c r="H64" s="6" t="s">
        <v>390</v>
      </c>
      <c r="I64" s="1" t="s">
        <v>20</v>
      </c>
      <c r="J64" s="7" t="s">
        <v>391</v>
      </c>
      <c r="K64" s="1" t="s">
        <v>17</v>
      </c>
      <c r="N64" s="1" t="s">
        <v>154</v>
      </c>
      <c r="O64" s="1" t="s">
        <v>28</v>
      </c>
      <c r="P64" s="6" t="s">
        <v>392</v>
      </c>
      <c r="S64" s="1">
        <v>2008</v>
      </c>
      <c r="T64" s="1" t="s">
        <v>393</v>
      </c>
      <c r="U64" s="3" t="s">
        <v>394</v>
      </c>
    </row>
    <row r="65" spans="1:22" ht="188.5" x14ac:dyDescent="0.35">
      <c r="A65">
        <f t="shared" si="0"/>
        <v>64</v>
      </c>
      <c r="B65" s="1" t="s">
        <v>395</v>
      </c>
      <c r="C65" s="1" t="s">
        <v>468</v>
      </c>
      <c r="D65" s="1" t="s">
        <v>467</v>
      </c>
      <c r="E65" s="1" t="s">
        <v>375</v>
      </c>
      <c r="F65" s="4" t="s">
        <v>21</v>
      </c>
      <c r="G65" s="6" t="s">
        <v>399</v>
      </c>
      <c r="H65" s="6" t="s">
        <v>404</v>
      </c>
      <c r="I65" s="1" t="s">
        <v>20</v>
      </c>
      <c r="J65" s="6" t="s">
        <v>403</v>
      </c>
      <c r="K65" s="1" t="s">
        <v>17</v>
      </c>
      <c r="L65" s="6" t="s">
        <v>400</v>
      </c>
      <c r="M65" s="1" t="s">
        <v>398</v>
      </c>
      <c r="N65" s="1" t="s">
        <v>405</v>
      </c>
      <c r="O65" s="1" t="s">
        <v>28</v>
      </c>
      <c r="P65" s="6" t="s">
        <v>402</v>
      </c>
      <c r="Q65" s="1">
        <v>9</v>
      </c>
      <c r="R65" s="1" t="s">
        <v>401</v>
      </c>
      <c r="S65" s="1">
        <v>2013</v>
      </c>
      <c r="T65" s="1" t="s">
        <v>397</v>
      </c>
      <c r="U65" s="3" t="s">
        <v>396</v>
      </c>
      <c r="V65" s="1" t="s">
        <v>365</v>
      </c>
    </row>
    <row r="66" spans="1:22" ht="87" x14ac:dyDescent="0.35">
      <c r="A66">
        <f t="shared" si="0"/>
        <v>65</v>
      </c>
      <c r="B66" s="1" t="s">
        <v>406</v>
      </c>
      <c r="C66" s="1" t="s">
        <v>468</v>
      </c>
      <c r="D66" s="1" t="s">
        <v>467</v>
      </c>
      <c r="E66" s="1" t="s">
        <v>375</v>
      </c>
      <c r="F66" s="4" t="s">
        <v>283</v>
      </c>
      <c r="G66" s="6" t="s">
        <v>538</v>
      </c>
      <c r="H66" s="12" t="s">
        <v>539</v>
      </c>
      <c r="I66" s="1" t="s">
        <v>20</v>
      </c>
      <c r="J66" s="7" t="s">
        <v>542</v>
      </c>
      <c r="K66" s="1" t="s">
        <v>17</v>
      </c>
      <c r="L66" s="6" t="s">
        <v>543</v>
      </c>
      <c r="M66" s="1" t="s">
        <v>15</v>
      </c>
      <c r="N66" s="1" t="s">
        <v>540</v>
      </c>
      <c r="O66" s="1" t="s">
        <v>541</v>
      </c>
      <c r="P66" s="6" t="s">
        <v>544</v>
      </c>
      <c r="Q66" s="1">
        <v>9</v>
      </c>
      <c r="R66" s="1" t="s">
        <v>63</v>
      </c>
      <c r="S66" s="1">
        <v>2018</v>
      </c>
      <c r="T66" s="1" t="s">
        <v>408</v>
      </c>
      <c r="U66" s="3" t="s">
        <v>407</v>
      </c>
    </row>
    <row r="67" spans="1:22" ht="174" x14ac:dyDescent="0.35">
      <c r="A67">
        <f t="shared" ref="A67:A128" si="1">IF(B67="","",ROW()-1)</f>
        <v>66</v>
      </c>
      <c r="B67" s="1" t="s">
        <v>411</v>
      </c>
      <c r="C67" s="1" t="s">
        <v>468</v>
      </c>
      <c r="D67" s="1" t="s">
        <v>467</v>
      </c>
      <c r="E67" s="1" t="s">
        <v>375</v>
      </c>
      <c r="F67" s="4" t="s">
        <v>412</v>
      </c>
      <c r="G67" s="1" t="s">
        <v>545</v>
      </c>
      <c r="H67" s="11" t="s">
        <v>546</v>
      </c>
      <c r="I67" s="1" t="s">
        <v>20</v>
      </c>
      <c r="K67" s="1" t="s">
        <v>17</v>
      </c>
      <c r="L67" s="6" t="s">
        <v>547</v>
      </c>
      <c r="M67" s="1" t="s">
        <v>15</v>
      </c>
      <c r="N67" s="6" t="s">
        <v>548</v>
      </c>
      <c r="O67" s="1" t="s">
        <v>55</v>
      </c>
      <c r="P67" s="13" t="s">
        <v>549</v>
      </c>
      <c r="Q67" s="1">
        <v>8</v>
      </c>
      <c r="R67" s="1" t="s">
        <v>63</v>
      </c>
      <c r="S67" s="1">
        <v>2018</v>
      </c>
      <c r="T67" s="1" t="s">
        <v>410</v>
      </c>
      <c r="U67" s="3" t="s">
        <v>409</v>
      </c>
    </row>
    <row r="68" spans="1:22" ht="72.5" x14ac:dyDescent="0.35">
      <c r="A68">
        <f t="shared" si="1"/>
        <v>67</v>
      </c>
      <c r="B68" s="1" t="s">
        <v>413</v>
      </c>
      <c r="C68" s="1" t="s">
        <v>468</v>
      </c>
      <c r="D68" s="1" t="s">
        <v>467</v>
      </c>
      <c r="E68" s="1" t="s">
        <v>375</v>
      </c>
      <c r="F68" s="4" t="s">
        <v>329</v>
      </c>
      <c r="G68" s="1" t="s">
        <v>22</v>
      </c>
      <c r="H68" s="11" t="s">
        <v>557</v>
      </c>
      <c r="I68" s="1" t="s">
        <v>20</v>
      </c>
      <c r="K68" s="1" t="s">
        <v>17</v>
      </c>
      <c r="L68" s="6" t="s">
        <v>558</v>
      </c>
      <c r="M68" s="1" t="s">
        <v>15</v>
      </c>
      <c r="N68" s="1" t="s">
        <v>550</v>
      </c>
      <c r="O68" s="1" t="s">
        <v>551</v>
      </c>
      <c r="P68" s="6" t="s">
        <v>552</v>
      </c>
      <c r="S68" s="1">
        <v>2016</v>
      </c>
      <c r="T68" s="1" t="s">
        <v>414</v>
      </c>
      <c r="U68" s="3" t="s">
        <v>415</v>
      </c>
    </row>
    <row r="69" spans="1:22" ht="87" x14ac:dyDescent="0.35">
      <c r="A69">
        <f t="shared" si="1"/>
        <v>68</v>
      </c>
      <c r="B69" s="1" t="s">
        <v>416</v>
      </c>
      <c r="C69" s="1" t="s">
        <v>468</v>
      </c>
      <c r="D69" s="1" t="s">
        <v>467</v>
      </c>
      <c r="E69" s="1" t="s">
        <v>375</v>
      </c>
      <c r="F69" s="4" t="s">
        <v>329</v>
      </c>
      <c r="G69" s="6" t="s">
        <v>553</v>
      </c>
      <c r="H69" s="11" t="s">
        <v>554</v>
      </c>
      <c r="I69" s="1" t="s">
        <v>20</v>
      </c>
      <c r="K69" s="1" t="s">
        <v>17</v>
      </c>
      <c r="L69" s="6" t="s">
        <v>558</v>
      </c>
      <c r="M69" s="1" t="s">
        <v>15</v>
      </c>
      <c r="N69" s="6" t="s">
        <v>560</v>
      </c>
      <c r="O69" s="6" t="s">
        <v>559</v>
      </c>
      <c r="S69" s="1">
        <v>2016</v>
      </c>
      <c r="T69" s="1" t="s">
        <v>414</v>
      </c>
      <c r="U69" s="1" t="s">
        <v>415</v>
      </c>
    </row>
    <row r="70" spans="1:22" ht="87" x14ac:dyDescent="0.35">
      <c r="A70">
        <f t="shared" si="1"/>
        <v>69</v>
      </c>
      <c r="B70" s="1" t="s">
        <v>421</v>
      </c>
      <c r="C70" s="1" t="s">
        <v>468</v>
      </c>
      <c r="D70" s="1" t="s">
        <v>467</v>
      </c>
      <c r="E70" s="1" t="s">
        <v>375</v>
      </c>
      <c r="F70" s="4" t="s">
        <v>329</v>
      </c>
      <c r="G70" s="6" t="s">
        <v>553</v>
      </c>
      <c r="H70" s="11" t="s">
        <v>554</v>
      </c>
      <c r="I70" s="1" t="s">
        <v>20</v>
      </c>
      <c r="K70" s="1" t="s">
        <v>17</v>
      </c>
      <c r="L70" s="6" t="s">
        <v>558</v>
      </c>
      <c r="M70" s="1" t="s">
        <v>15</v>
      </c>
      <c r="N70" s="6" t="s">
        <v>561</v>
      </c>
      <c r="O70" s="6"/>
      <c r="S70" s="1">
        <v>2016</v>
      </c>
      <c r="T70" s="1" t="s">
        <v>414</v>
      </c>
      <c r="U70" s="1" t="s">
        <v>415</v>
      </c>
    </row>
    <row r="71" spans="1:22" ht="72.5" x14ac:dyDescent="0.35">
      <c r="A71">
        <f t="shared" si="1"/>
        <v>70</v>
      </c>
      <c r="B71" s="1" t="s">
        <v>422</v>
      </c>
      <c r="C71" s="1" t="s">
        <v>468</v>
      </c>
      <c r="D71" s="1" t="s">
        <v>467</v>
      </c>
      <c r="E71" s="1" t="s">
        <v>375</v>
      </c>
      <c r="F71" s="4" t="s">
        <v>329</v>
      </c>
      <c r="G71" s="1" t="s">
        <v>555</v>
      </c>
      <c r="H71" s="11" t="s">
        <v>556</v>
      </c>
      <c r="I71" s="1" t="s">
        <v>20</v>
      </c>
      <c r="K71" s="1" t="s">
        <v>17</v>
      </c>
      <c r="L71" s="6" t="s">
        <v>558</v>
      </c>
      <c r="M71" s="1" t="s">
        <v>15</v>
      </c>
      <c r="N71" s="1" t="s">
        <v>562</v>
      </c>
      <c r="O71" s="1" t="s">
        <v>84</v>
      </c>
      <c r="S71" s="1">
        <v>2016</v>
      </c>
      <c r="T71" s="1" t="s">
        <v>414</v>
      </c>
      <c r="U71" s="1" t="s">
        <v>415</v>
      </c>
    </row>
    <row r="72" spans="1:22" ht="188.5" x14ac:dyDescent="0.35">
      <c r="A72">
        <f t="shared" si="1"/>
        <v>71</v>
      </c>
      <c r="B72" s="1" t="s">
        <v>417</v>
      </c>
      <c r="C72" s="1" t="s">
        <v>468</v>
      </c>
      <c r="D72" s="1" t="s">
        <v>467</v>
      </c>
      <c r="E72" s="1" t="s">
        <v>375</v>
      </c>
      <c r="F72" s="4" t="s">
        <v>418</v>
      </c>
      <c r="G72" s="6" t="s">
        <v>565</v>
      </c>
      <c r="H72" s="12" t="s">
        <v>568</v>
      </c>
      <c r="I72" s="1" t="s">
        <v>20</v>
      </c>
      <c r="J72" s="7" t="s">
        <v>567</v>
      </c>
      <c r="K72" s="1" t="s">
        <v>17</v>
      </c>
      <c r="L72" s="6" t="s">
        <v>563</v>
      </c>
      <c r="M72" s="1" t="s">
        <v>15</v>
      </c>
      <c r="N72" s="6" t="s">
        <v>566</v>
      </c>
      <c r="O72" s="1" t="s">
        <v>84</v>
      </c>
      <c r="P72" s="6" t="s">
        <v>569</v>
      </c>
      <c r="Q72" s="1" t="s">
        <v>564</v>
      </c>
      <c r="R72" s="1" t="s">
        <v>63</v>
      </c>
      <c r="S72" s="1">
        <v>2018</v>
      </c>
      <c r="T72" s="1" t="s">
        <v>419</v>
      </c>
      <c r="U72" s="3" t="s">
        <v>420</v>
      </c>
    </row>
    <row r="73" spans="1:22" x14ac:dyDescent="0.35">
      <c r="A73">
        <f t="shared" si="1"/>
        <v>72</v>
      </c>
      <c r="B73" s="1" t="s">
        <v>423</v>
      </c>
      <c r="C73" s="1" t="s">
        <v>310</v>
      </c>
      <c r="D73" s="1" t="s">
        <v>1018</v>
      </c>
      <c r="E73" s="1" t="s">
        <v>375</v>
      </c>
      <c r="F73" s="4" t="s">
        <v>384</v>
      </c>
      <c r="G73" s="1" t="s">
        <v>301</v>
      </c>
      <c r="I73" s="1" t="s">
        <v>276</v>
      </c>
      <c r="J73" s="9" t="s">
        <v>385</v>
      </c>
      <c r="N73" s="1" t="s">
        <v>537</v>
      </c>
      <c r="O73" s="1" t="s">
        <v>55</v>
      </c>
      <c r="S73" s="1">
        <v>2003</v>
      </c>
      <c r="T73" s="1" t="s">
        <v>424</v>
      </c>
      <c r="U73" s="10" t="s">
        <v>425</v>
      </c>
    </row>
    <row r="74" spans="1:22" x14ac:dyDescent="0.35">
      <c r="A74">
        <f t="shared" si="1"/>
        <v>73</v>
      </c>
      <c r="B74" s="1" t="s">
        <v>426</v>
      </c>
      <c r="C74" s="1" t="s">
        <v>310</v>
      </c>
      <c r="D74" s="1" t="s">
        <v>1018</v>
      </c>
      <c r="E74" s="1" t="s">
        <v>375</v>
      </c>
      <c r="F74" s="4" t="s">
        <v>427</v>
      </c>
      <c r="G74" s="1" t="s">
        <v>301</v>
      </c>
      <c r="I74" s="1" t="s">
        <v>276</v>
      </c>
      <c r="J74" s="9" t="s">
        <v>385</v>
      </c>
      <c r="N74" s="1" t="s">
        <v>537</v>
      </c>
      <c r="O74" s="1" t="s">
        <v>55</v>
      </c>
      <c r="S74" s="1">
        <v>2003</v>
      </c>
      <c r="T74" s="1" t="s">
        <v>424</v>
      </c>
      <c r="U74" s="10" t="s">
        <v>425</v>
      </c>
    </row>
    <row r="75" spans="1:22" ht="275.5" x14ac:dyDescent="0.35">
      <c r="A75">
        <f t="shared" si="1"/>
        <v>74</v>
      </c>
      <c r="B75" s="25" t="s">
        <v>639</v>
      </c>
      <c r="C75" s="25" t="s">
        <v>474</v>
      </c>
      <c r="D75" s="25" t="s">
        <v>473</v>
      </c>
      <c r="E75" s="25" t="s">
        <v>375</v>
      </c>
      <c r="F75" s="26" t="s">
        <v>428</v>
      </c>
      <c r="G75" s="25" t="s">
        <v>49</v>
      </c>
      <c r="H75" s="27" t="s">
        <v>574</v>
      </c>
      <c r="I75" s="25" t="s">
        <v>14</v>
      </c>
      <c r="J75" s="27" t="s">
        <v>572</v>
      </c>
      <c r="K75" s="25" t="s">
        <v>17</v>
      </c>
      <c r="L75" s="25"/>
      <c r="M75" s="25" t="s">
        <v>15</v>
      </c>
      <c r="N75" s="27" t="s">
        <v>570</v>
      </c>
      <c r="O75" s="27" t="s">
        <v>571</v>
      </c>
      <c r="P75" s="25"/>
      <c r="Q75" s="25"/>
      <c r="R75" s="25"/>
      <c r="S75" s="25">
        <v>2022</v>
      </c>
      <c r="T75" s="25" t="s">
        <v>430</v>
      </c>
      <c r="U75" s="28" t="s">
        <v>429</v>
      </c>
    </row>
    <row r="76" spans="1:22" ht="275.5" x14ac:dyDescent="0.35">
      <c r="A76">
        <f t="shared" si="1"/>
        <v>75</v>
      </c>
      <c r="B76" s="1" t="s">
        <v>640</v>
      </c>
      <c r="C76" s="1" t="s">
        <v>474</v>
      </c>
      <c r="D76" s="1" t="s">
        <v>473</v>
      </c>
      <c r="E76" s="1" t="s">
        <v>375</v>
      </c>
      <c r="F76" s="4" t="s">
        <v>428</v>
      </c>
      <c r="G76" s="1" t="s">
        <v>573</v>
      </c>
      <c r="H76" s="6" t="s">
        <v>575</v>
      </c>
      <c r="I76" s="1" t="s">
        <v>20</v>
      </c>
      <c r="J76" s="7" t="s">
        <v>186</v>
      </c>
      <c r="K76" s="1" t="s">
        <v>17</v>
      </c>
      <c r="M76" s="1" t="s">
        <v>15</v>
      </c>
      <c r="N76" s="6" t="s">
        <v>576</v>
      </c>
      <c r="O76" s="1" t="s">
        <v>97</v>
      </c>
      <c r="S76" s="1">
        <v>2022</v>
      </c>
      <c r="T76" s="1" t="s">
        <v>430</v>
      </c>
      <c r="U76" s="1" t="s">
        <v>429</v>
      </c>
    </row>
    <row r="77" spans="1:22" ht="203" x14ac:dyDescent="0.35">
      <c r="A77">
        <f t="shared" si="1"/>
        <v>76</v>
      </c>
      <c r="B77" s="1" t="s">
        <v>445</v>
      </c>
      <c r="C77" s="1" t="s">
        <v>474</v>
      </c>
      <c r="D77" s="1" t="s">
        <v>473</v>
      </c>
      <c r="E77" s="1" t="s">
        <v>375</v>
      </c>
      <c r="F77" s="2" t="s">
        <v>446</v>
      </c>
      <c r="G77" s="1" t="s">
        <v>49</v>
      </c>
      <c r="H77" s="11" t="s">
        <v>533</v>
      </c>
      <c r="I77" s="1" t="s">
        <v>20</v>
      </c>
      <c r="J77" s="7" t="s">
        <v>277</v>
      </c>
      <c r="K77" s="1" t="s">
        <v>17</v>
      </c>
      <c r="M77" s="1" t="s">
        <v>532</v>
      </c>
      <c r="N77" s="6" t="s">
        <v>535</v>
      </c>
      <c r="O77" s="6" t="s">
        <v>534</v>
      </c>
      <c r="P77" s="6" t="s">
        <v>536</v>
      </c>
      <c r="Q77" s="1">
        <v>8.1999999999999993</v>
      </c>
      <c r="S77" s="1">
        <v>2014</v>
      </c>
      <c r="T77" s="1" t="s">
        <v>448</v>
      </c>
      <c r="U77" s="3" t="s">
        <v>447</v>
      </c>
    </row>
    <row r="78" spans="1:22" ht="43.5" x14ac:dyDescent="0.35">
      <c r="A78">
        <f t="shared" si="1"/>
        <v>77</v>
      </c>
      <c r="B78" s="1" t="s">
        <v>449</v>
      </c>
      <c r="C78" s="1" t="s">
        <v>474</v>
      </c>
      <c r="D78" s="1" t="s">
        <v>473</v>
      </c>
      <c r="E78" s="1" t="s">
        <v>375</v>
      </c>
      <c r="F78" s="4" t="s">
        <v>450</v>
      </c>
      <c r="G78" s="1" t="s">
        <v>433</v>
      </c>
      <c r="H78" s="5" t="s">
        <v>641</v>
      </c>
      <c r="I78" s="1" t="s">
        <v>20</v>
      </c>
      <c r="J78" s="9" t="s">
        <v>14</v>
      </c>
      <c r="K78" s="1" t="s">
        <v>17</v>
      </c>
      <c r="N78" s="1" t="s">
        <v>451</v>
      </c>
      <c r="O78" s="1" t="s">
        <v>436</v>
      </c>
      <c r="S78" s="1">
        <v>2023</v>
      </c>
      <c r="T78" t="s">
        <v>453</v>
      </c>
      <c r="U78" s="10" t="s">
        <v>452</v>
      </c>
    </row>
    <row r="79" spans="1:22" s="25" customFormat="1" ht="145" x14ac:dyDescent="0.35">
      <c r="A79">
        <f t="shared" si="1"/>
        <v>78</v>
      </c>
      <c r="B79" s="1" t="s">
        <v>454</v>
      </c>
      <c r="C79" s="1" t="s">
        <v>471</v>
      </c>
      <c r="D79" s="1" t="s">
        <v>475</v>
      </c>
      <c r="E79" s="1" t="s">
        <v>375</v>
      </c>
      <c r="F79" s="4" t="s">
        <v>137</v>
      </c>
      <c r="G79" s="1" t="s">
        <v>462</v>
      </c>
      <c r="H79" s="5" t="s">
        <v>465</v>
      </c>
      <c r="I79" s="1" t="s">
        <v>14</v>
      </c>
      <c r="J79" s="6" t="s">
        <v>464</v>
      </c>
      <c r="K79" s="1" t="s">
        <v>17</v>
      </c>
      <c r="L79" s="6" t="s">
        <v>466</v>
      </c>
      <c r="M79" s="1" t="s">
        <v>15</v>
      </c>
      <c r="N79" s="1" t="s">
        <v>463</v>
      </c>
      <c r="O79" s="1" t="s">
        <v>551</v>
      </c>
      <c r="P79" s="1" t="s">
        <v>1024</v>
      </c>
      <c r="Q79" s="1">
        <v>7</v>
      </c>
      <c r="R79" s="1" t="s">
        <v>63</v>
      </c>
      <c r="S79" s="1">
        <v>2018</v>
      </c>
      <c r="T79" s="1" t="s">
        <v>455</v>
      </c>
      <c r="U79" s="3" t="s">
        <v>456</v>
      </c>
    </row>
    <row r="80" spans="1:22" ht="87" x14ac:dyDescent="0.35">
      <c r="A80">
        <f t="shared" si="1"/>
        <v>79</v>
      </c>
      <c r="B80" s="1" t="s">
        <v>489</v>
      </c>
      <c r="C80" s="1" t="s">
        <v>870</v>
      </c>
      <c r="D80" s="1" t="s">
        <v>1017</v>
      </c>
      <c r="E80" s="1" t="s">
        <v>375</v>
      </c>
      <c r="F80" s="4" t="s">
        <v>326</v>
      </c>
      <c r="G80" s="1" t="s">
        <v>327</v>
      </c>
      <c r="I80" s="1" t="s">
        <v>14</v>
      </c>
      <c r="J80" s="7" t="s">
        <v>491</v>
      </c>
      <c r="K80" s="1" t="s">
        <v>17</v>
      </c>
      <c r="L80" s="6" t="s">
        <v>492</v>
      </c>
      <c r="N80" s="1" t="s">
        <v>490</v>
      </c>
      <c r="O80" s="1" t="s">
        <v>225</v>
      </c>
      <c r="S80" s="1">
        <v>2019</v>
      </c>
      <c r="T80" s="1" t="s">
        <v>493</v>
      </c>
      <c r="U80" s="1" t="s">
        <v>494</v>
      </c>
    </row>
    <row r="81" spans="1:21" x14ac:dyDescent="0.35">
      <c r="A81">
        <f t="shared" si="1"/>
        <v>80</v>
      </c>
      <c r="B81" s="1" t="s">
        <v>495</v>
      </c>
      <c r="C81" s="1" t="s">
        <v>637</v>
      </c>
      <c r="D81" s="1" t="s">
        <v>1017</v>
      </c>
      <c r="E81" s="1" t="s">
        <v>375</v>
      </c>
      <c r="F81" s="4" t="s">
        <v>316</v>
      </c>
      <c r="G81" s="1" t="s">
        <v>321</v>
      </c>
      <c r="I81" s="1" t="s">
        <v>20</v>
      </c>
      <c r="M81" s="1" t="s">
        <v>15</v>
      </c>
      <c r="S81" s="1">
        <v>2015</v>
      </c>
      <c r="T81" s="1" t="s">
        <v>496</v>
      </c>
      <c r="U81" s="10" t="s">
        <v>497</v>
      </c>
    </row>
    <row r="82" spans="1:21" ht="130.5" x14ac:dyDescent="0.35">
      <c r="A82">
        <f t="shared" si="1"/>
        <v>81</v>
      </c>
      <c r="B82" s="1" t="s">
        <v>498</v>
      </c>
      <c r="C82" s="1" t="s">
        <v>470</v>
      </c>
      <c r="D82" s="1" t="s">
        <v>469</v>
      </c>
      <c r="E82" s="1" t="s">
        <v>375</v>
      </c>
      <c r="F82" s="4" t="s">
        <v>70</v>
      </c>
      <c r="G82" s="1" t="s">
        <v>501</v>
      </c>
      <c r="H82" s="5" t="s">
        <v>503</v>
      </c>
      <c r="I82" s="1" t="s">
        <v>20</v>
      </c>
      <c r="K82" s="1" t="s">
        <v>17</v>
      </c>
      <c r="L82" s="6" t="s">
        <v>504</v>
      </c>
      <c r="M82" s="1" t="s">
        <v>15</v>
      </c>
      <c r="N82" s="1" t="s">
        <v>502</v>
      </c>
      <c r="O82" s="1" t="s">
        <v>28</v>
      </c>
      <c r="P82" s="6" t="s">
        <v>505</v>
      </c>
      <c r="Q82" s="1">
        <v>7.5</v>
      </c>
      <c r="R82" s="1" t="s">
        <v>401</v>
      </c>
      <c r="S82" s="1">
        <v>2015</v>
      </c>
      <c r="T82" s="1" t="s">
        <v>500</v>
      </c>
      <c r="U82" s="1" t="s">
        <v>499</v>
      </c>
    </row>
    <row r="83" spans="1:21" ht="29" x14ac:dyDescent="0.35">
      <c r="A83">
        <f t="shared" si="1"/>
        <v>82</v>
      </c>
      <c r="B83" s="1" t="s">
        <v>517</v>
      </c>
      <c r="C83" s="1" t="s">
        <v>476</v>
      </c>
      <c r="D83" t="s">
        <v>1015</v>
      </c>
      <c r="E83" s="1" t="s">
        <v>375</v>
      </c>
      <c r="F83" s="4" t="s">
        <v>302</v>
      </c>
      <c r="G83" s="1" t="s">
        <v>625</v>
      </c>
      <c r="I83" s="6" t="s">
        <v>633</v>
      </c>
      <c r="J83" s="1" t="s">
        <v>1133</v>
      </c>
      <c r="M83" s="1" t="s">
        <v>15</v>
      </c>
      <c r="N83" s="6" t="s">
        <v>636</v>
      </c>
      <c r="O83" s="1" t="s">
        <v>97</v>
      </c>
      <c r="S83" s="1">
        <v>2004</v>
      </c>
      <c r="T83" s="1" t="s">
        <v>634</v>
      </c>
      <c r="U83" s="43" t="s">
        <v>635</v>
      </c>
    </row>
    <row r="84" spans="1:21" ht="29" x14ac:dyDescent="0.35">
      <c r="A84">
        <f t="shared" si="1"/>
        <v>83</v>
      </c>
      <c r="B84" s="1" t="s">
        <v>523</v>
      </c>
      <c r="C84" s="1" t="s">
        <v>474</v>
      </c>
      <c r="D84" s="1" t="s">
        <v>473</v>
      </c>
      <c r="E84" s="1" t="s">
        <v>375</v>
      </c>
      <c r="F84" s="4" t="s">
        <v>525</v>
      </c>
      <c r="G84" s="1" t="s">
        <v>433</v>
      </c>
      <c r="H84" s="5" t="s">
        <v>526</v>
      </c>
      <c r="I84" s="1" t="s">
        <v>14</v>
      </c>
      <c r="K84" s="1" t="s">
        <v>17</v>
      </c>
      <c r="S84" s="1">
        <v>2021</v>
      </c>
      <c r="T84" s="1" t="s">
        <v>122</v>
      </c>
      <c r="U84" s="33" t="s">
        <v>123</v>
      </c>
    </row>
    <row r="85" spans="1:21" ht="29" x14ac:dyDescent="0.35">
      <c r="A85">
        <f t="shared" si="1"/>
        <v>84</v>
      </c>
      <c r="B85" s="1" t="s">
        <v>524</v>
      </c>
      <c r="C85" s="1" t="s">
        <v>474</v>
      </c>
      <c r="D85" s="1" t="s">
        <v>473</v>
      </c>
      <c r="E85" s="1" t="s">
        <v>375</v>
      </c>
      <c r="F85" s="4" t="s">
        <v>525</v>
      </c>
      <c r="G85" s="1" t="s">
        <v>433</v>
      </c>
      <c r="H85" s="5" t="s">
        <v>526</v>
      </c>
      <c r="I85" s="1" t="s">
        <v>14</v>
      </c>
      <c r="K85" s="1" t="s">
        <v>17</v>
      </c>
      <c r="S85" s="1">
        <v>2021</v>
      </c>
      <c r="T85" s="1" t="s">
        <v>122</v>
      </c>
      <c r="U85" s="33" t="s">
        <v>123</v>
      </c>
    </row>
    <row r="86" spans="1:21" ht="72.5" x14ac:dyDescent="0.35">
      <c r="A86">
        <f t="shared" si="1"/>
        <v>85</v>
      </c>
      <c r="B86" s="1" t="s">
        <v>527</v>
      </c>
      <c r="C86" s="1" t="s">
        <v>474</v>
      </c>
      <c r="D86" s="1" t="s">
        <v>473</v>
      </c>
      <c r="E86" s="1" t="s">
        <v>375</v>
      </c>
      <c r="F86" s="4" t="s">
        <v>431</v>
      </c>
      <c r="G86" s="1" t="s">
        <v>49</v>
      </c>
      <c r="H86" s="5" t="s">
        <v>528</v>
      </c>
      <c r="I86" s="1" t="s">
        <v>14</v>
      </c>
      <c r="J86" s="9" t="s">
        <v>20</v>
      </c>
      <c r="K86" s="1" t="s">
        <v>17</v>
      </c>
      <c r="N86" s="6" t="s">
        <v>529</v>
      </c>
      <c r="O86" s="6" t="s">
        <v>530</v>
      </c>
      <c r="S86" s="1">
        <v>2021</v>
      </c>
      <c r="T86" s="1" t="s">
        <v>122</v>
      </c>
      <c r="U86" s="33" t="s">
        <v>123</v>
      </c>
    </row>
    <row r="87" spans="1:21" ht="87" x14ac:dyDescent="0.35">
      <c r="A87">
        <f t="shared" si="1"/>
        <v>86</v>
      </c>
      <c r="B87" s="1" t="s">
        <v>581</v>
      </c>
      <c r="C87" s="1" t="s">
        <v>470</v>
      </c>
      <c r="D87" s="1" t="s">
        <v>469</v>
      </c>
      <c r="E87" s="1" t="s">
        <v>375</v>
      </c>
      <c r="F87" s="4" t="s">
        <v>69</v>
      </c>
      <c r="G87" s="1" t="s">
        <v>189</v>
      </c>
      <c r="I87" s="1" t="s">
        <v>20</v>
      </c>
      <c r="K87" s="1" t="s">
        <v>17</v>
      </c>
      <c r="M87" s="1" t="s">
        <v>15</v>
      </c>
      <c r="N87" s="6" t="s">
        <v>585</v>
      </c>
      <c r="O87" s="1" t="s">
        <v>579</v>
      </c>
      <c r="P87" s="6" t="s">
        <v>586</v>
      </c>
      <c r="Q87" s="1" t="s">
        <v>580</v>
      </c>
      <c r="R87" s="1" t="s">
        <v>583</v>
      </c>
      <c r="S87" s="1">
        <v>2025</v>
      </c>
      <c r="T87" s="1" t="s">
        <v>577</v>
      </c>
      <c r="U87" s="3" t="s">
        <v>578</v>
      </c>
    </row>
    <row r="88" spans="1:21" ht="72.5" x14ac:dyDescent="0.35">
      <c r="A88">
        <f t="shared" si="1"/>
        <v>87</v>
      </c>
      <c r="B88" s="1" t="s">
        <v>582</v>
      </c>
      <c r="C88" s="1" t="s">
        <v>470</v>
      </c>
      <c r="D88" s="1" t="s">
        <v>469</v>
      </c>
      <c r="E88" s="1" t="s">
        <v>375</v>
      </c>
      <c r="F88" s="4" t="s">
        <v>77</v>
      </c>
      <c r="G88" s="1" t="s">
        <v>189</v>
      </c>
      <c r="I88" s="1" t="s">
        <v>20</v>
      </c>
      <c r="K88" s="1" t="s">
        <v>17</v>
      </c>
      <c r="M88" s="1" t="s">
        <v>15</v>
      </c>
      <c r="N88" s="6" t="s">
        <v>585</v>
      </c>
      <c r="O88" s="1" t="s">
        <v>579</v>
      </c>
      <c r="P88" s="6" t="s">
        <v>587</v>
      </c>
      <c r="Q88" s="1" t="s">
        <v>580</v>
      </c>
      <c r="R88" s="1" t="s">
        <v>401</v>
      </c>
      <c r="S88" s="1">
        <v>2025</v>
      </c>
      <c r="T88" s="1" t="s">
        <v>577</v>
      </c>
      <c r="U88" s="3" t="s">
        <v>578</v>
      </c>
    </row>
    <row r="89" spans="1:21" ht="87" x14ac:dyDescent="0.35">
      <c r="A89">
        <f t="shared" si="1"/>
        <v>88</v>
      </c>
      <c r="B89" s="1" t="s">
        <v>584</v>
      </c>
      <c r="C89" s="1" t="s">
        <v>470</v>
      </c>
      <c r="D89" s="1" t="s">
        <v>469</v>
      </c>
      <c r="E89" s="1" t="s">
        <v>375</v>
      </c>
      <c r="F89" s="4" t="s">
        <v>69</v>
      </c>
      <c r="G89" s="1" t="s">
        <v>189</v>
      </c>
      <c r="I89" s="1" t="s">
        <v>20</v>
      </c>
      <c r="K89" s="1" t="s">
        <v>17</v>
      </c>
      <c r="M89" s="1" t="s">
        <v>15</v>
      </c>
      <c r="N89" s="6" t="s">
        <v>585</v>
      </c>
      <c r="O89" s="1" t="s">
        <v>579</v>
      </c>
      <c r="P89" s="6" t="s">
        <v>588</v>
      </c>
      <c r="Q89" s="1" t="s">
        <v>589</v>
      </c>
      <c r="R89" s="1" t="s">
        <v>401</v>
      </c>
      <c r="S89" s="1">
        <v>2025</v>
      </c>
      <c r="T89" s="1" t="s">
        <v>577</v>
      </c>
      <c r="U89" s="3" t="s">
        <v>578</v>
      </c>
    </row>
    <row r="90" spans="1:21" x14ac:dyDescent="0.35">
      <c r="A90">
        <f t="shared" si="1"/>
        <v>89</v>
      </c>
      <c r="B90" s="1" t="s">
        <v>594</v>
      </c>
      <c r="C90" s="1" t="s">
        <v>468</v>
      </c>
      <c r="D90" s="1" t="s">
        <v>763</v>
      </c>
      <c r="E90" s="1" t="s">
        <v>375</v>
      </c>
      <c r="F90" s="4" t="s">
        <v>596</v>
      </c>
      <c r="G90" s="1" t="s">
        <v>592</v>
      </c>
      <c r="I90" s="1" t="s">
        <v>20</v>
      </c>
      <c r="K90" s="1" t="s">
        <v>17</v>
      </c>
      <c r="M90" s="1" t="s">
        <v>15</v>
      </c>
      <c r="N90" s="1" t="s">
        <v>593</v>
      </c>
      <c r="O90" s="1" t="s">
        <v>28</v>
      </c>
      <c r="Q90" s="1" t="s">
        <v>595</v>
      </c>
      <c r="S90" s="1">
        <v>2025</v>
      </c>
      <c r="T90" s="1" t="s">
        <v>590</v>
      </c>
      <c r="U90" s="3" t="s">
        <v>591</v>
      </c>
    </row>
    <row r="91" spans="1:21" ht="29" x14ac:dyDescent="0.35">
      <c r="A91">
        <f t="shared" si="1"/>
        <v>90</v>
      </c>
      <c r="B91" s="1" t="s">
        <v>597</v>
      </c>
      <c r="C91" s="1" t="s">
        <v>474</v>
      </c>
      <c r="D91" s="1" t="s">
        <v>599</v>
      </c>
      <c r="E91" s="1" t="s">
        <v>375</v>
      </c>
      <c r="F91" s="4" t="s">
        <v>598</v>
      </c>
      <c r="G91" s="1" t="s">
        <v>433</v>
      </c>
      <c r="I91" s="1" t="s">
        <v>20</v>
      </c>
      <c r="K91" s="1" t="s">
        <v>17</v>
      </c>
      <c r="M91" s="4" t="s">
        <v>603</v>
      </c>
      <c r="N91" s="1" t="s">
        <v>451</v>
      </c>
      <c r="O91" s="1" t="s">
        <v>602</v>
      </c>
      <c r="P91" s="6" t="s">
        <v>601</v>
      </c>
      <c r="Q91" s="1">
        <v>8.5</v>
      </c>
      <c r="R91" s="1" t="s">
        <v>110</v>
      </c>
      <c r="S91" s="1">
        <v>2025</v>
      </c>
      <c r="T91" s="1" t="s">
        <v>600</v>
      </c>
      <c r="U91" s="3" t="s">
        <v>638</v>
      </c>
    </row>
    <row r="92" spans="1:21" x14ac:dyDescent="0.35">
      <c r="A92">
        <f t="shared" si="1"/>
        <v>91</v>
      </c>
      <c r="B92" s="1" t="s">
        <v>605</v>
      </c>
      <c r="C92" s="1" t="s">
        <v>468</v>
      </c>
      <c r="D92" s="1" t="s">
        <v>467</v>
      </c>
      <c r="E92" s="1" t="s">
        <v>375</v>
      </c>
      <c r="F92" s="4" t="s">
        <v>329</v>
      </c>
      <c r="G92" s="1" t="s">
        <v>22</v>
      </c>
      <c r="I92" s="1" t="s">
        <v>20</v>
      </c>
      <c r="K92" s="1" t="s">
        <v>17</v>
      </c>
      <c r="M92" s="1" t="s">
        <v>15</v>
      </c>
      <c r="N92" s="1" t="s">
        <v>606</v>
      </c>
      <c r="O92" s="1" t="s">
        <v>551</v>
      </c>
      <c r="S92" s="1">
        <v>2018</v>
      </c>
      <c r="T92" s="1" t="s">
        <v>607</v>
      </c>
      <c r="U92" s="3" t="s">
        <v>608</v>
      </c>
    </row>
    <row r="93" spans="1:21" x14ac:dyDescent="0.35">
      <c r="A93">
        <f t="shared" si="1"/>
        <v>92</v>
      </c>
      <c r="B93" s="1" t="s">
        <v>609</v>
      </c>
      <c r="C93" s="1" t="s">
        <v>1016</v>
      </c>
      <c r="D93" s="1" t="s">
        <v>1097</v>
      </c>
      <c r="E93" s="1" t="s">
        <v>376</v>
      </c>
      <c r="F93" s="4" t="s">
        <v>610</v>
      </c>
      <c r="G93" s="6" t="s">
        <v>611</v>
      </c>
      <c r="I93" s="1" t="s">
        <v>20</v>
      </c>
      <c r="K93" s="1" t="s">
        <v>17</v>
      </c>
      <c r="N93" s="1" t="s">
        <v>612</v>
      </c>
      <c r="S93" s="1">
        <v>2012</v>
      </c>
      <c r="T93" s="1" t="s">
        <v>613</v>
      </c>
      <c r="U93" s="3" t="s">
        <v>614</v>
      </c>
    </row>
    <row r="94" spans="1:21" x14ac:dyDescent="0.35">
      <c r="A94">
        <f t="shared" si="1"/>
        <v>93</v>
      </c>
      <c r="B94" s="1" t="s">
        <v>615</v>
      </c>
      <c r="C94" s="1" t="s">
        <v>1016</v>
      </c>
      <c r="D94" s="1" t="s">
        <v>1097</v>
      </c>
      <c r="E94" s="1" t="s">
        <v>376</v>
      </c>
      <c r="F94" s="4" t="s">
        <v>618</v>
      </c>
      <c r="G94" s="1" t="s">
        <v>872</v>
      </c>
      <c r="I94" s="1" t="s">
        <v>128</v>
      </c>
      <c r="K94" s="1" t="s">
        <v>17</v>
      </c>
      <c r="N94" s="6" t="s">
        <v>619</v>
      </c>
      <c r="O94" s="1" t="s">
        <v>551</v>
      </c>
      <c r="S94" s="1">
        <v>2011</v>
      </c>
      <c r="T94" s="1" t="s">
        <v>616</v>
      </c>
      <c r="U94" s="1" t="s">
        <v>617</v>
      </c>
    </row>
    <row r="95" spans="1:21" x14ac:dyDescent="0.35">
      <c r="A95">
        <f t="shared" si="1"/>
        <v>94</v>
      </c>
      <c r="B95" s="1" t="s">
        <v>620</v>
      </c>
      <c r="C95" s="1" t="s">
        <v>897</v>
      </c>
      <c r="D95" s="1" t="s">
        <v>1097</v>
      </c>
      <c r="E95" s="1" t="s">
        <v>376</v>
      </c>
      <c r="F95" s="4" t="s">
        <v>350</v>
      </c>
      <c r="G95" s="1" t="s">
        <v>621</v>
      </c>
      <c r="I95" s="1" t="s">
        <v>128</v>
      </c>
      <c r="N95" s="1" t="s">
        <v>622</v>
      </c>
      <c r="S95" s="1">
        <v>2010</v>
      </c>
      <c r="T95" s="1" t="s">
        <v>623</v>
      </c>
      <c r="U95" t="s">
        <v>624</v>
      </c>
    </row>
    <row r="96" spans="1:21" x14ac:dyDescent="0.35">
      <c r="A96">
        <f t="shared" si="1"/>
        <v>95</v>
      </c>
      <c r="B96" s="1" t="s">
        <v>626</v>
      </c>
      <c r="C96" s="1" t="s">
        <v>310</v>
      </c>
      <c r="D96" s="1" t="s">
        <v>1018</v>
      </c>
      <c r="E96" s="1" t="s">
        <v>375</v>
      </c>
      <c r="F96" s="4" t="s">
        <v>632</v>
      </c>
      <c r="G96" s="1" t="s">
        <v>310</v>
      </c>
      <c r="I96" s="1" t="s">
        <v>633</v>
      </c>
      <c r="N96" s="1" t="s">
        <v>311</v>
      </c>
      <c r="O96" s="1" t="s">
        <v>55</v>
      </c>
      <c r="S96" s="1">
        <v>2018</v>
      </c>
      <c r="T96" s="1" t="s">
        <v>628</v>
      </c>
      <c r="U96" s="3" t="s">
        <v>629</v>
      </c>
    </row>
    <row r="97" spans="1:22" x14ac:dyDescent="0.35">
      <c r="A97">
        <f t="shared" si="1"/>
        <v>96</v>
      </c>
      <c r="B97" s="1" t="s">
        <v>627</v>
      </c>
      <c r="C97" s="1" t="s">
        <v>310</v>
      </c>
      <c r="D97" s="1" t="s">
        <v>1018</v>
      </c>
      <c r="E97" s="1" t="s">
        <v>375</v>
      </c>
      <c r="F97" s="4" t="s">
        <v>632</v>
      </c>
      <c r="G97" s="1" t="s">
        <v>310</v>
      </c>
      <c r="I97" s="1" t="s">
        <v>633</v>
      </c>
      <c r="N97" s="1" t="s">
        <v>311</v>
      </c>
      <c r="O97" s="1" t="s">
        <v>55</v>
      </c>
      <c r="S97" s="1">
        <v>2017</v>
      </c>
      <c r="T97" s="1" t="s">
        <v>630</v>
      </c>
      <c r="U97" s="1" t="s">
        <v>631</v>
      </c>
    </row>
    <row r="98" spans="1:22" ht="145" x14ac:dyDescent="0.35">
      <c r="A98">
        <f t="shared" si="1"/>
        <v>97</v>
      </c>
      <c r="B98" s="1" t="s">
        <v>644</v>
      </c>
      <c r="C98" s="1" t="s">
        <v>476</v>
      </c>
      <c r="D98" s="1" t="s">
        <v>1104</v>
      </c>
      <c r="E98" s="1" t="s">
        <v>376</v>
      </c>
      <c r="F98" s="4" t="s">
        <v>643</v>
      </c>
      <c r="G98" s="1" t="s">
        <v>13</v>
      </c>
      <c r="H98" s="11" t="s">
        <v>647</v>
      </c>
      <c r="I98" s="1" t="s">
        <v>20</v>
      </c>
      <c r="K98" s="1" t="s">
        <v>17</v>
      </c>
      <c r="M98" s="4" t="s">
        <v>355</v>
      </c>
      <c r="N98" s="1" t="s">
        <v>646</v>
      </c>
      <c r="O98" s="1" t="s">
        <v>97</v>
      </c>
      <c r="S98" s="1">
        <v>2025</v>
      </c>
      <c r="T98" s="1" t="s">
        <v>650</v>
      </c>
      <c r="U98" s="3" t="s">
        <v>651</v>
      </c>
    </row>
    <row r="99" spans="1:22" ht="159.5" x14ac:dyDescent="0.35">
      <c r="A99">
        <f t="shared" si="1"/>
        <v>98</v>
      </c>
      <c r="B99" s="1" t="s">
        <v>645</v>
      </c>
      <c r="C99" s="1" t="s">
        <v>870</v>
      </c>
      <c r="D99" s="1" t="s">
        <v>1104</v>
      </c>
      <c r="E99" s="1" t="s">
        <v>376</v>
      </c>
      <c r="F99" s="4" t="s">
        <v>643</v>
      </c>
      <c r="G99" s="1" t="s">
        <v>229</v>
      </c>
      <c r="H99" s="6" t="s">
        <v>648</v>
      </c>
      <c r="I99" s="1" t="s">
        <v>14</v>
      </c>
      <c r="K99" s="1" t="s">
        <v>17</v>
      </c>
      <c r="M99" s="4" t="s">
        <v>355</v>
      </c>
      <c r="N99" s="6" t="s">
        <v>649</v>
      </c>
      <c r="O99" s="1" t="s">
        <v>97</v>
      </c>
      <c r="S99" s="1">
        <v>2025</v>
      </c>
      <c r="T99" s="1" t="s">
        <v>650</v>
      </c>
      <c r="U99" s="1" t="s">
        <v>651</v>
      </c>
    </row>
    <row r="100" spans="1:22" ht="101.5" x14ac:dyDescent="0.35">
      <c r="A100">
        <f t="shared" si="1"/>
        <v>99</v>
      </c>
      <c r="B100" s="1" t="s">
        <v>653</v>
      </c>
      <c r="C100" s="1" t="s">
        <v>654</v>
      </c>
      <c r="D100" s="1" t="s">
        <v>1105</v>
      </c>
      <c r="E100" s="1" t="s">
        <v>376</v>
      </c>
      <c r="F100" s="4" t="s">
        <v>655</v>
      </c>
      <c r="G100" s="6" t="s">
        <v>656</v>
      </c>
      <c r="H100" s="11" t="s">
        <v>657</v>
      </c>
      <c r="I100" s="1" t="s">
        <v>20</v>
      </c>
      <c r="K100" s="1" t="s">
        <v>17</v>
      </c>
      <c r="M100" s="4" t="s">
        <v>659</v>
      </c>
      <c r="N100" s="1" t="s">
        <v>658</v>
      </c>
      <c r="O100" s="1" t="s">
        <v>551</v>
      </c>
      <c r="S100" s="1">
        <v>2026</v>
      </c>
      <c r="T100" s="1" t="s">
        <v>660</v>
      </c>
      <c r="U100" s="33" t="s">
        <v>661</v>
      </c>
    </row>
    <row r="101" spans="1:22" x14ac:dyDescent="0.35">
      <c r="A101">
        <f t="shared" si="1"/>
        <v>100</v>
      </c>
      <c r="B101" s="40" t="s">
        <v>666</v>
      </c>
      <c r="C101" s="1" t="s">
        <v>471</v>
      </c>
      <c r="D101" s="1" t="s">
        <v>475</v>
      </c>
      <c r="E101" s="38" t="s">
        <v>375</v>
      </c>
      <c r="F101" s="37" t="s">
        <v>137</v>
      </c>
      <c r="G101" s="40" t="s">
        <v>462</v>
      </c>
      <c r="H101" s="41" t="s">
        <v>667</v>
      </c>
      <c r="I101" s="38" t="s">
        <v>20</v>
      </c>
      <c r="J101" s="39" t="s">
        <v>665</v>
      </c>
      <c r="K101" s="38" t="s">
        <v>17</v>
      </c>
      <c r="L101" s="38" t="s">
        <v>668</v>
      </c>
      <c r="M101" s="38" t="s">
        <v>671</v>
      </c>
      <c r="N101" s="38" t="s">
        <v>669</v>
      </c>
      <c r="O101" s="38" t="s">
        <v>670</v>
      </c>
      <c r="P101" s="37" t="s">
        <v>677</v>
      </c>
      <c r="Q101" s="36" t="s">
        <v>798</v>
      </c>
      <c r="R101" s="38">
        <v>30</v>
      </c>
      <c r="S101" s="37">
        <v>2025</v>
      </c>
      <c r="T101" s="37" t="s">
        <v>672</v>
      </c>
      <c r="U101" s="43" t="s">
        <v>673</v>
      </c>
    </row>
    <row r="102" spans="1:22" s="25" customFormat="1" x14ac:dyDescent="0.35">
      <c r="A102">
        <f t="shared" si="1"/>
        <v>101</v>
      </c>
      <c r="B102" s="40" t="s">
        <v>674</v>
      </c>
      <c r="C102" s="1" t="s">
        <v>471</v>
      </c>
      <c r="D102" s="1" t="s">
        <v>475</v>
      </c>
      <c r="E102" s="38" t="s">
        <v>375</v>
      </c>
      <c r="F102" s="37" t="s">
        <v>137</v>
      </c>
      <c r="G102" s="40" t="s">
        <v>462</v>
      </c>
      <c r="H102" s="41" t="s">
        <v>667</v>
      </c>
      <c r="I102" s="40" t="s">
        <v>675</v>
      </c>
      <c r="J102" s="39" t="s">
        <v>676</v>
      </c>
      <c r="K102" s="38" t="s">
        <v>17</v>
      </c>
      <c r="L102" s="38" t="s">
        <v>668</v>
      </c>
      <c r="M102" s="38" t="s">
        <v>671</v>
      </c>
      <c r="N102" s="38" t="s">
        <v>669</v>
      </c>
      <c r="O102" s="38" t="s">
        <v>670</v>
      </c>
      <c r="P102" s="1" t="s">
        <v>678</v>
      </c>
      <c r="Q102" s="38">
        <v>8</v>
      </c>
      <c r="R102" s="38">
        <v>30</v>
      </c>
      <c r="S102" s="37">
        <v>2025</v>
      </c>
      <c r="T102" s="37" t="s">
        <v>672</v>
      </c>
      <c r="U102" s="43" t="s">
        <v>673</v>
      </c>
    </row>
    <row r="103" spans="1:22" x14ac:dyDescent="0.35">
      <c r="A103">
        <f t="shared" si="1"/>
        <v>102</v>
      </c>
      <c r="B103" s="40" t="s">
        <v>679</v>
      </c>
      <c r="C103" s="1" t="s">
        <v>471</v>
      </c>
      <c r="D103" s="1" t="s">
        <v>475</v>
      </c>
      <c r="E103" s="38" t="s">
        <v>375</v>
      </c>
      <c r="F103" s="37" t="s">
        <v>137</v>
      </c>
      <c r="G103" s="40" t="s">
        <v>462</v>
      </c>
      <c r="H103" s="41" t="s">
        <v>667</v>
      </c>
      <c r="I103" s="40" t="s">
        <v>20</v>
      </c>
      <c r="J103" s="39" t="s">
        <v>665</v>
      </c>
      <c r="K103" s="38" t="s">
        <v>17</v>
      </c>
      <c r="L103" s="38" t="s">
        <v>668</v>
      </c>
      <c r="M103" s="38" t="s">
        <v>671</v>
      </c>
      <c r="N103" s="38" t="s">
        <v>669</v>
      </c>
      <c r="O103" s="38" t="s">
        <v>670</v>
      </c>
      <c r="P103" s="1" t="s">
        <v>680</v>
      </c>
      <c r="Q103" s="38">
        <v>8</v>
      </c>
      <c r="R103" s="38">
        <v>30</v>
      </c>
      <c r="S103" s="37">
        <v>2025</v>
      </c>
      <c r="T103" s="37" t="s">
        <v>672</v>
      </c>
      <c r="U103" s="43" t="s">
        <v>673</v>
      </c>
    </row>
    <row r="104" spans="1:22" ht="29" x14ac:dyDescent="0.35">
      <c r="A104">
        <f t="shared" si="1"/>
        <v>103</v>
      </c>
      <c r="B104" s="40" t="s">
        <v>681</v>
      </c>
      <c r="C104" s="1" t="s">
        <v>471</v>
      </c>
      <c r="D104" s="1" t="s">
        <v>475</v>
      </c>
      <c r="E104" s="38" t="s">
        <v>375</v>
      </c>
      <c r="F104" s="37" t="s">
        <v>137</v>
      </c>
      <c r="G104" s="40" t="s">
        <v>682</v>
      </c>
      <c r="H104" s="34" t="s">
        <v>683</v>
      </c>
      <c r="I104" s="40" t="s">
        <v>675</v>
      </c>
      <c r="J104" s="39" t="s">
        <v>676</v>
      </c>
      <c r="K104" s="38" t="s">
        <v>17</v>
      </c>
      <c r="L104" s="38" t="s">
        <v>668</v>
      </c>
      <c r="M104" s="35" t="s">
        <v>119</v>
      </c>
      <c r="N104" s="38" t="s">
        <v>684</v>
      </c>
      <c r="O104" s="1" t="s">
        <v>1026</v>
      </c>
      <c r="P104" s="1" t="s">
        <v>717</v>
      </c>
      <c r="Q104" s="36" t="s">
        <v>798</v>
      </c>
      <c r="R104" s="38">
        <v>30</v>
      </c>
      <c r="S104" s="37">
        <v>2025</v>
      </c>
      <c r="T104" s="37" t="s">
        <v>672</v>
      </c>
      <c r="U104" s="43" t="s">
        <v>673</v>
      </c>
    </row>
    <row r="105" spans="1:22" x14ac:dyDescent="0.35">
      <c r="A105">
        <f t="shared" si="1"/>
        <v>104</v>
      </c>
      <c r="B105" s="40" t="s">
        <v>685</v>
      </c>
      <c r="C105" s="1" t="s">
        <v>471</v>
      </c>
      <c r="D105" s="1" t="s">
        <v>475</v>
      </c>
      <c r="E105" s="38" t="s">
        <v>375</v>
      </c>
      <c r="F105" s="37" t="s">
        <v>137</v>
      </c>
      <c r="G105" s="40" t="s">
        <v>687</v>
      </c>
      <c r="H105" s="41" t="s">
        <v>688</v>
      </c>
      <c r="I105" s="40" t="s">
        <v>675</v>
      </c>
      <c r="J105" s="39" t="s">
        <v>676</v>
      </c>
      <c r="K105" s="38" t="s">
        <v>17</v>
      </c>
      <c r="L105" s="38" t="s">
        <v>668</v>
      </c>
      <c r="M105" s="35" t="s">
        <v>119</v>
      </c>
      <c r="N105" s="38" t="s">
        <v>721</v>
      </c>
      <c r="O105" s="1" t="s">
        <v>225</v>
      </c>
      <c r="P105" s="1" t="s">
        <v>686</v>
      </c>
      <c r="Q105" s="38">
        <v>8</v>
      </c>
      <c r="R105" s="38">
        <v>30</v>
      </c>
      <c r="S105" s="37">
        <v>2025</v>
      </c>
      <c r="T105" s="37" t="s">
        <v>672</v>
      </c>
      <c r="U105" s="43" t="s">
        <v>673</v>
      </c>
    </row>
    <row r="106" spans="1:22" x14ac:dyDescent="0.35">
      <c r="A106">
        <f t="shared" si="1"/>
        <v>105</v>
      </c>
      <c r="B106" s="40" t="s">
        <v>689</v>
      </c>
      <c r="C106" s="1" t="s">
        <v>471</v>
      </c>
      <c r="D106" s="1" t="s">
        <v>475</v>
      </c>
      <c r="E106" s="38" t="s">
        <v>375</v>
      </c>
      <c r="F106" s="37" t="s">
        <v>137</v>
      </c>
      <c r="G106" s="1" t="s">
        <v>693</v>
      </c>
      <c r="H106" s="41" t="s">
        <v>694</v>
      </c>
      <c r="I106" s="40" t="s">
        <v>675</v>
      </c>
      <c r="J106" s="39" t="s">
        <v>676</v>
      </c>
      <c r="K106" s="38" t="s">
        <v>17</v>
      </c>
      <c r="L106" s="38" t="s">
        <v>668</v>
      </c>
      <c r="M106" s="38" t="s">
        <v>671</v>
      </c>
      <c r="N106" s="38" t="s">
        <v>691</v>
      </c>
      <c r="O106" s="1" t="s">
        <v>1027</v>
      </c>
      <c r="P106" s="35" t="s">
        <v>690</v>
      </c>
      <c r="Q106" s="38">
        <v>8</v>
      </c>
      <c r="R106" s="38">
        <v>30</v>
      </c>
      <c r="S106" s="37">
        <v>2025</v>
      </c>
      <c r="T106" s="37" t="s">
        <v>672</v>
      </c>
      <c r="U106" s="43" t="s">
        <v>673</v>
      </c>
    </row>
    <row r="107" spans="1:22" x14ac:dyDescent="0.35">
      <c r="A107">
        <f t="shared" si="1"/>
        <v>106</v>
      </c>
      <c r="B107" s="40" t="s">
        <v>692</v>
      </c>
      <c r="C107" s="1" t="s">
        <v>471</v>
      </c>
      <c r="D107" s="1" t="s">
        <v>475</v>
      </c>
      <c r="E107" s="38" t="s">
        <v>375</v>
      </c>
      <c r="F107" s="37" t="s">
        <v>137</v>
      </c>
      <c r="G107" s="1" t="s">
        <v>705</v>
      </c>
      <c r="H107" s="41" t="s">
        <v>695</v>
      </c>
      <c r="I107" s="40" t="s">
        <v>20</v>
      </c>
      <c r="J107" s="39" t="s">
        <v>665</v>
      </c>
      <c r="K107" s="38" t="s">
        <v>17</v>
      </c>
      <c r="L107" s="38" t="s">
        <v>668</v>
      </c>
      <c r="M107" s="38" t="s">
        <v>671</v>
      </c>
      <c r="N107" s="38" t="s">
        <v>696</v>
      </c>
      <c r="O107" s="1" t="s">
        <v>1027</v>
      </c>
      <c r="P107" s="1" t="s">
        <v>697</v>
      </c>
      <c r="Q107" s="38">
        <v>8</v>
      </c>
      <c r="R107" s="1" t="s">
        <v>728</v>
      </c>
      <c r="S107" s="37">
        <v>2025</v>
      </c>
      <c r="T107" s="37" t="s">
        <v>672</v>
      </c>
      <c r="U107" s="43" t="s">
        <v>673</v>
      </c>
    </row>
    <row r="108" spans="1:22" x14ac:dyDescent="0.35">
      <c r="A108">
        <f t="shared" si="1"/>
        <v>107</v>
      </c>
      <c r="B108" s="40" t="s">
        <v>698</v>
      </c>
      <c r="C108" s="1" t="s">
        <v>471</v>
      </c>
      <c r="D108" s="1" t="s">
        <v>475</v>
      </c>
      <c r="E108" s="38" t="s">
        <v>375</v>
      </c>
      <c r="F108" s="37" t="s">
        <v>137</v>
      </c>
      <c r="G108" s="40" t="s">
        <v>699</v>
      </c>
      <c r="H108" s="41" t="s">
        <v>688</v>
      </c>
      <c r="I108" s="40" t="s">
        <v>700</v>
      </c>
      <c r="J108" s="9" t="s">
        <v>701</v>
      </c>
      <c r="K108" s="38" t="s">
        <v>17</v>
      </c>
      <c r="L108" s="38" t="s">
        <v>668</v>
      </c>
      <c r="M108" s="38" t="s">
        <v>671</v>
      </c>
      <c r="N108" s="38" t="s">
        <v>702</v>
      </c>
      <c r="O108" s="1" t="s">
        <v>1027</v>
      </c>
      <c r="P108" s="1" t="s">
        <v>703</v>
      </c>
      <c r="Q108" s="1">
        <v>8</v>
      </c>
      <c r="R108" s="1" t="s">
        <v>728</v>
      </c>
      <c r="S108" s="37">
        <v>2025</v>
      </c>
      <c r="T108" s="37" t="s">
        <v>672</v>
      </c>
      <c r="U108" s="43" t="s">
        <v>673</v>
      </c>
    </row>
    <row r="109" spans="1:22" x14ac:dyDescent="0.35">
      <c r="A109">
        <f t="shared" si="1"/>
        <v>108</v>
      </c>
      <c r="B109" s="40" t="s">
        <v>704</v>
      </c>
      <c r="C109" s="1" t="s">
        <v>471</v>
      </c>
      <c r="D109" s="1" t="s">
        <v>475</v>
      </c>
      <c r="E109" s="38" t="s">
        <v>375</v>
      </c>
      <c r="F109" s="37" t="s">
        <v>137</v>
      </c>
      <c r="G109" s="40" t="s">
        <v>707</v>
      </c>
      <c r="H109" s="41" t="s">
        <v>708</v>
      </c>
      <c r="I109" s="40" t="s">
        <v>675</v>
      </c>
      <c r="J109" s="39" t="s">
        <v>676</v>
      </c>
      <c r="K109" s="38" t="s">
        <v>17</v>
      </c>
      <c r="L109" s="38" t="s">
        <v>668</v>
      </c>
      <c r="M109" s="38" t="s">
        <v>671</v>
      </c>
      <c r="N109" s="38" t="s">
        <v>709</v>
      </c>
      <c r="O109" s="1" t="s">
        <v>1028</v>
      </c>
      <c r="P109" s="1" t="s">
        <v>706</v>
      </c>
      <c r="Q109" s="38">
        <v>7</v>
      </c>
      <c r="R109" s="1" t="s">
        <v>729</v>
      </c>
      <c r="S109" s="37">
        <v>2025</v>
      </c>
      <c r="T109" s="37" t="s">
        <v>672</v>
      </c>
      <c r="U109" s="43" t="s">
        <v>673</v>
      </c>
    </row>
    <row r="110" spans="1:22" x14ac:dyDescent="0.35">
      <c r="A110">
        <f t="shared" si="1"/>
        <v>109</v>
      </c>
      <c r="B110" s="40" t="s">
        <v>710</v>
      </c>
      <c r="C110" s="1" t="s">
        <v>471</v>
      </c>
      <c r="D110" s="1" t="s">
        <v>475</v>
      </c>
      <c r="E110" s="38" t="s">
        <v>375</v>
      </c>
      <c r="F110" s="37" t="s">
        <v>137</v>
      </c>
      <c r="G110" s="40" t="s">
        <v>712</v>
      </c>
      <c r="H110" s="41" t="s">
        <v>713</v>
      </c>
      <c r="I110" s="40" t="s">
        <v>675</v>
      </c>
      <c r="J110" s="39" t="s">
        <v>676</v>
      </c>
      <c r="K110" s="38" t="s">
        <v>17</v>
      </c>
      <c r="L110" s="38" t="s">
        <v>668</v>
      </c>
      <c r="M110" s="38" t="s">
        <v>671</v>
      </c>
      <c r="N110" s="38" t="s">
        <v>709</v>
      </c>
      <c r="O110" s="1" t="s">
        <v>1028</v>
      </c>
      <c r="P110" s="1" t="s">
        <v>714</v>
      </c>
      <c r="Q110" s="38">
        <v>9</v>
      </c>
      <c r="R110" s="1" t="s">
        <v>729</v>
      </c>
      <c r="S110" s="37">
        <v>2025</v>
      </c>
      <c r="T110" s="37" t="s">
        <v>672</v>
      </c>
      <c r="U110" s="43" t="s">
        <v>673</v>
      </c>
    </row>
    <row r="111" spans="1:22" x14ac:dyDescent="0.35">
      <c r="A111">
        <f t="shared" si="1"/>
        <v>110</v>
      </c>
      <c r="B111" s="40" t="s">
        <v>715</v>
      </c>
      <c r="C111" s="1" t="s">
        <v>471</v>
      </c>
      <c r="D111" s="1" t="s">
        <v>475</v>
      </c>
      <c r="E111" s="38" t="s">
        <v>375</v>
      </c>
      <c r="F111" s="37" t="s">
        <v>137</v>
      </c>
      <c r="G111" s="1" t="s">
        <v>711</v>
      </c>
      <c r="H111" s="41" t="s">
        <v>694</v>
      </c>
      <c r="I111" s="40" t="s">
        <v>700</v>
      </c>
      <c r="J111" s="9" t="s">
        <v>701</v>
      </c>
      <c r="K111" s="38" t="s">
        <v>17</v>
      </c>
      <c r="L111" s="38" t="s">
        <v>668</v>
      </c>
      <c r="M111" s="38" t="s">
        <v>671</v>
      </c>
      <c r="N111" s="38" t="s">
        <v>721</v>
      </c>
      <c r="O111" s="1" t="s">
        <v>1028</v>
      </c>
      <c r="P111" s="1" t="s">
        <v>716</v>
      </c>
      <c r="Q111" s="38">
        <v>9</v>
      </c>
      <c r="R111" s="1" t="s">
        <v>729</v>
      </c>
      <c r="S111" s="37">
        <v>2025</v>
      </c>
      <c r="T111" s="37" t="s">
        <v>672</v>
      </c>
      <c r="U111" s="43" t="s">
        <v>673</v>
      </c>
      <c r="V111" s="37"/>
    </row>
    <row r="112" spans="1:22" ht="29" x14ac:dyDescent="0.35">
      <c r="A112">
        <f t="shared" si="1"/>
        <v>111</v>
      </c>
      <c r="B112" s="40" t="s">
        <v>718</v>
      </c>
      <c r="C112" s="1" t="s">
        <v>471</v>
      </c>
      <c r="D112" s="1" t="s">
        <v>475</v>
      </c>
      <c r="E112" s="38" t="s">
        <v>375</v>
      </c>
      <c r="F112" s="37" t="s">
        <v>137</v>
      </c>
      <c r="G112" s="40" t="s">
        <v>722</v>
      </c>
      <c r="H112" s="41" t="s">
        <v>723</v>
      </c>
      <c r="I112" s="40" t="s">
        <v>700</v>
      </c>
      <c r="J112" s="9" t="s">
        <v>701</v>
      </c>
      <c r="K112" s="38" t="s">
        <v>17</v>
      </c>
      <c r="L112" s="38" t="s">
        <v>668</v>
      </c>
      <c r="M112" s="38" t="s">
        <v>671</v>
      </c>
      <c r="N112" s="38" t="s">
        <v>720</v>
      </c>
      <c r="O112" s="1" t="s">
        <v>1029</v>
      </c>
      <c r="P112" s="1" t="s">
        <v>719</v>
      </c>
      <c r="Q112" s="36" t="s">
        <v>797</v>
      </c>
      <c r="R112" s="1">
        <v>20</v>
      </c>
      <c r="S112" s="37">
        <v>2025</v>
      </c>
      <c r="T112" s="37" t="s">
        <v>672</v>
      </c>
      <c r="U112" s="43" t="s">
        <v>730</v>
      </c>
    </row>
    <row r="113" spans="1:21" x14ac:dyDescent="0.35">
      <c r="A113">
        <f t="shared" si="1"/>
        <v>112</v>
      </c>
      <c r="B113" s="40" t="s">
        <v>725</v>
      </c>
      <c r="C113" s="1" t="s">
        <v>471</v>
      </c>
      <c r="D113" s="1" t="s">
        <v>475</v>
      </c>
      <c r="E113" s="38" t="s">
        <v>375</v>
      </c>
      <c r="F113" s="37" t="s">
        <v>137</v>
      </c>
      <c r="G113" s="1" t="s">
        <v>711</v>
      </c>
      <c r="H113" s="42" t="s">
        <v>726</v>
      </c>
      <c r="I113" s="1" t="s">
        <v>14</v>
      </c>
      <c r="J113" s="39" t="s">
        <v>727</v>
      </c>
      <c r="K113" s="38" t="s">
        <v>17</v>
      </c>
      <c r="L113" s="38" t="s">
        <v>668</v>
      </c>
      <c r="M113" s="38" t="s">
        <v>671</v>
      </c>
      <c r="N113" s="38" t="s">
        <v>670</v>
      </c>
      <c r="O113" s="38" t="s">
        <v>670</v>
      </c>
      <c r="P113" s="1" t="s">
        <v>724</v>
      </c>
      <c r="Q113" s="38">
        <v>8</v>
      </c>
      <c r="R113" s="1">
        <v>30</v>
      </c>
      <c r="S113" s="37">
        <v>2025</v>
      </c>
      <c r="T113" s="37" t="s">
        <v>672</v>
      </c>
      <c r="U113" s="43" t="s">
        <v>730</v>
      </c>
    </row>
    <row r="114" spans="1:21" x14ac:dyDescent="0.35">
      <c r="A114">
        <f t="shared" si="1"/>
        <v>113</v>
      </c>
      <c r="B114" s="40" t="s">
        <v>739</v>
      </c>
      <c r="C114" s="1" t="s">
        <v>732</v>
      </c>
      <c r="D114" s="1" t="s">
        <v>599</v>
      </c>
      <c r="E114" s="38" t="s">
        <v>375</v>
      </c>
      <c r="F114" s="4" t="s">
        <v>731</v>
      </c>
      <c r="G114" s="1" t="s">
        <v>733</v>
      </c>
      <c r="H114" s="41" t="s">
        <v>668</v>
      </c>
      <c r="I114" s="1" t="s">
        <v>20</v>
      </c>
      <c r="J114" s="1" t="s">
        <v>668</v>
      </c>
      <c r="K114" s="38" t="s">
        <v>17</v>
      </c>
      <c r="L114" s="1" t="s">
        <v>668</v>
      </c>
      <c r="M114" s="38" t="s">
        <v>734</v>
      </c>
      <c r="N114" s="38" t="s">
        <v>735</v>
      </c>
      <c r="O114" s="1" t="s">
        <v>55</v>
      </c>
      <c r="P114" s="1" t="s">
        <v>736</v>
      </c>
      <c r="Q114" s="1">
        <v>10</v>
      </c>
      <c r="R114" s="1">
        <v>45</v>
      </c>
      <c r="S114" s="1">
        <v>2025</v>
      </c>
      <c r="T114" s="1" t="s">
        <v>737</v>
      </c>
      <c r="U114" s="33" t="s">
        <v>738</v>
      </c>
    </row>
    <row r="115" spans="1:21" x14ac:dyDescent="0.35">
      <c r="A115">
        <f t="shared" si="1"/>
        <v>114</v>
      </c>
      <c r="B115" s="40" t="s">
        <v>740</v>
      </c>
      <c r="C115" s="1" t="s">
        <v>474</v>
      </c>
      <c r="D115" s="1" t="s">
        <v>599</v>
      </c>
      <c r="E115" s="38" t="s">
        <v>375</v>
      </c>
      <c r="F115" s="4" t="s">
        <v>743</v>
      </c>
      <c r="G115" s="1" t="s">
        <v>49</v>
      </c>
      <c r="H115" s="34" t="s">
        <v>744</v>
      </c>
      <c r="I115" s="1" t="s">
        <v>20</v>
      </c>
      <c r="J115" s="9" t="s">
        <v>14</v>
      </c>
      <c r="K115" s="38" t="s">
        <v>17</v>
      </c>
      <c r="L115" t="s">
        <v>783</v>
      </c>
      <c r="M115" s="1" t="s">
        <v>747</v>
      </c>
      <c r="N115" s="38" t="s">
        <v>748</v>
      </c>
      <c r="O115" s="1" t="s">
        <v>55</v>
      </c>
      <c r="P115" s="1" t="s">
        <v>668</v>
      </c>
      <c r="Q115" s="36" t="s">
        <v>798</v>
      </c>
      <c r="R115" s="1">
        <v>25</v>
      </c>
      <c r="S115" s="1">
        <v>2023</v>
      </c>
      <c r="T115" s="1" t="s">
        <v>749</v>
      </c>
      <c r="U115" s="33" t="s">
        <v>1021</v>
      </c>
    </row>
    <row r="116" spans="1:21" x14ac:dyDescent="0.35">
      <c r="A116">
        <f t="shared" si="1"/>
        <v>115</v>
      </c>
      <c r="B116" s="40" t="s">
        <v>741</v>
      </c>
      <c r="C116" s="1" t="s">
        <v>474</v>
      </c>
      <c r="D116" s="1" t="s">
        <v>599</v>
      </c>
      <c r="E116" s="38" t="s">
        <v>375</v>
      </c>
      <c r="F116" s="4" t="s">
        <v>743</v>
      </c>
      <c r="G116" s="1" t="s">
        <v>49</v>
      </c>
      <c r="H116" s="34" t="s">
        <v>744</v>
      </c>
      <c r="I116" s="1" t="s">
        <v>20</v>
      </c>
      <c r="J116" s="9" t="s">
        <v>14</v>
      </c>
      <c r="K116" s="38" t="s">
        <v>17</v>
      </c>
      <c r="L116" s="1" t="s">
        <v>668</v>
      </c>
      <c r="M116" s="1" t="s">
        <v>747</v>
      </c>
      <c r="N116" s="1" t="s">
        <v>750</v>
      </c>
      <c r="O116" s="1" t="s">
        <v>1030</v>
      </c>
      <c r="P116" s="1" t="s">
        <v>668</v>
      </c>
      <c r="Q116" s="1" t="s">
        <v>668</v>
      </c>
      <c r="R116" s="1" t="s">
        <v>668</v>
      </c>
      <c r="S116" s="1">
        <v>2023</v>
      </c>
      <c r="T116" s="1" t="s">
        <v>749</v>
      </c>
      <c r="U116" s="33" t="s">
        <v>1021</v>
      </c>
    </row>
    <row r="117" spans="1:21" x14ac:dyDescent="0.35">
      <c r="A117">
        <f t="shared" si="1"/>
        <v>116</v>
      </c>
      <c r="B117" s="40" t="s">
        <v>742</v>
      </c>
      <c r="C117" s="1" t="s">
        <v>474</v>
      </c>
      <c r="D117" s="1" t="s">
        <v>599</v>
      </c>
      <c r="E117" s="38" t="s">
        <v>375</v>
      </c>
      <c r="F117" s="4" t="s">
        <v>743</v>
      </c>
      <c r="G117" s="1" t="s">
        <v>745</v>
      </c>
      <c r="H117" s="34" t="s">
        <v>746</v>
      </c>
      <c r="I117" s="1" t="s">
        <v>20</v>
      </c>
      <c r="J117" s="9" t="s">
        <v>14</v>
      </c>
      <c r="K117" s="38" t="s">
        <v>17</v>
      </c>
      <c r="L117" s="1" t="s">
        <v>668</v>
      </c>
      <c r="M117" s="1" t="s">
        <v>747</v>
      </c>
      <c r="N117" s="1" t="s">
        <v>751</v>
      </c>
      <c r="O117" s="1" t="s">
        <v>1031</v>
      </c>
      <c r="P117" s="1" t="s">
        <v>668</v>
      </c>
      <c r="Q117" s="1" t="s">
        <v>668</v>
      </c>
      <c r="R117" s="1" t="s">
        <v>668</v>
      </c>
      <c r="S117" s="1">
        <v>2023</v>
      </c>
      <c r="T117" s="1" t="s">
        <v>749</v>
      </c>
      <c r="U117" s="33" t="s">
        <v>1021</v>
      </c>
    </row>
    <row r="118" spans="1:21" ht="130.5" x14ac:dyDescent="0.35">
      <c r="A118">
        <f t="shared" si="1"/>
        <v>117</v>
      </c>
      <c r="B118" s="40" t="s">
        <v>754</v>
      </c>
      <c r="C118" s="1" t="s">
        <v>468</v>
      </c>
      <c r="D118" s="1" t="s">
        <v>467</v>
      </c>
      <c r="E118" s="1" t="s">
        <v>375</v>
      </c>
      <c r="F118" s="4" t="s">
        <v>43</v>
      </c>
      <c r="G118" s="6" t="s">
        <v>755</v>
      </c>
      <c r="H118" s="5" t="s">
        <v>756</v>
      </c>
      <c r="I118" s="1" t="s">
        <v>20</v>
      </c>
      <c r="J118" s="9" t="s">
        <v>14</v>
      </c>
      <c r="M118" s="1" t="s">
        <v>757</v>
      </c>
      <c r="N118" s="1" t="s">
        <v>593</v>
      </c>
      <c r="O118" s="1" t="s">
        <v>28</v>
      </c>
      <c r="P118" s="6" t="s">
        <v>759</v>
      </c>
      <c r="Q118" s="1">
        <v>7</v>
      </c>
      <c r="R118" s="1">
        <v>30</v>
      </c>
      <c r="S118" s="1">
        <v>2021</v>
      </c>
      <c r="T118" s="1" t="s">
        <v>758</v>
      </c>
      <c r="U118" s="43" t="s">
        <v>760</v>
      </c>
    </row>
    <row r="119" spans="1:21" x14ac:dyDescent="0.35">
      <c r="A119">
        <f t="shared" si="1"/>
        <v>118</v>
      </c>
      <c r="B119" s="1" t="s">
        <v>761</v>
      </c>
      <c r="C119" s="1" t="s">
        <v>468</v>
      </c>
      <c r="D119" s="1" t="s">
        <v>763</v>
      </c>
      <c r="E119" s="1" t="s">
        <v>375</v>
      </c>
      <c r="F119" s="4" t="s">
        <v>762</v>
      </c>
      <c r="G119" s="1" t="s">
        <v>764</v>
      </c>
      <c r="H119" s="34" t="s">
        <v>765</v>
      </c>
      <c r="I119" s="1" t="s">
        <v>20</v>
      </c>
      <c r="J119" s="1" t="s">
        <v>668</v>
      </c>
      <c r="K119" s="1" t="s">
        <v>668</v>
      </c>
      <c r="L119" s="1" t="s">
        <v>668</v>
      </c>
      <c r="M119" s="1" t="s">
        <v>766</v>
      </c>
      <c r="N119" s="1" t="s">
        <v>593</v>
      </c>
      <c r="O119" s="1" t="s">
        <v>28</v>
      </c>
      <c r="P119" s="1" t="s">
        <v>668</v>
      </c>
      <c r="Q119" s="1" t="s">
        <v>668</v>
      </c>
      <c r="R119" s="1" t="s">
        <v>668</v>
      </c>
      <c r="S119" s="1">
        <v>2022</v>
      </c>
      <c r="T119" s="1" t="s">
        <v>767</v>
      </c>
      <c r="U119" s="33" t="s">
        <v>768</v>
      </c>
    </row>
    <row r="120" spans="1:21" x14ac:dyDescent="0.35">
      <c r="A120">
        <f t="shared" si="1"/>
        <v>119</v>
      </c>
      <c r="B120" s="1" t="s">
        <v>769</v>
      </c>
      <c r="C120" s="1" t="s">
        <v>474</v>
      </c>
      <c r="D120" s="1" t="s">
        <v>599</v>
      </c>
      <c r="E120" s="1" t="s">
        <v>375</v>
      </c>
      <c r="F120" s="4" t="s">
        <v>775</v>
      </c>
      <c r="G120" t="s">
        <v>49</v>
      </c>
      <c r="H120" s="34" t="s">
        <v>771</v>
      </c>
      <c r="I120" s="1" t="s">
        <v>20</v>
      </c>
      <c r="J120" s="9" t="s">
        <v>14</v>
      </c>
      <c r="K120" s="38" t="s">
        <v>17</v>
      </c>
      <c r="L120" s="1" t="s">
        <v>668</v>
      </c>
      <c r="M120" s="1" t="s">
        <v>747</v>
      </c>
      <c r="N120" s="1" t="s">
        <v>772</v>
      </c>
      <c r="O120" s="1" t="s">
        <v>55</v>
      </c>
      <c r="P120" s="1" t="s">
        <v>668</v>
      </c>
      <c r="Q120" s="36" t="s">
        <v>798</v>
      </c>
      <c r="R120" s="1">
        <v>25</v>
      </c>
      <c r="S120" s="1">
        <v>2024</v>
      </c>
      <c r="T120" s="1" t="s">
        <v>773</v>
      </c>
      <c r="U120" s="33" t="s">
        <v>774</v>
      </c>
    </row>
    <row r="121" spans="1:21" x14ac:dyDescent="0.35">
      <c r="A121">
        <f t="shared" si="1"/>
        <v>120</v>
      </c>
      <c r="B121" s="1" t="s">
        <v>770</v>
      </c>
      <c r="C121" s="1" t="s">
        <v>474</v>
      </c>
      <c r="D121" s="1" t="s">
        <v>599</v>
      </c>
      <c r="E121" s="1" t="s">
        <v>375</v>
      </c>
      <c r="F121" s="4" t="s">
        <v>775</v>
      </c>
      <c r="G121" t="s">
        <v>49</v>
      </c>
      <c r="H121" s="34" t="s">
        <v>771</v>
      </c>
      <c r="I121" s="1" t="s">
        <v>20</v>
      </c>
      <c r="J121" s="9" t="s">
        <v>14</v>
      </c>
      <c r="K121" s="38" t="s">
        <v>17</v>
      </c>
      <c r="L121" s="1" t="s">
        <v>668</v>
      </c>
      <c r="M121" s="1" t="s">
        <v>747</v>
      </c>
      <c r="N121" s="1" t="s">
        <v>215</v>
      </c>
      <c r="O121" s="1" t="s">
        <v>28</v>
      </c>
      <c r="P121" s="1" t="s">
        <v>668</v>
      </c>
      <c r="Q121" s="36" t="s">
        <v>799</v>
      </c>
      <c r="R121" s="1">
        <v>25</v>
      </c>
      <c r="S121" s="1">
        <v>2024</v>
      </c>
      <c r="T121" s="1" t="s">
        <v>773</v>
      </c>
      <c r="U121" s="33" t="s">
        <v>774</v>
      </c>
    </row>
    <row r="122" spans="1:21" x14ac:dyDescent="0.35">
      <c r="A122">
        <f t="shared" si="1"/>
        <v>121</v>
      </c>
      <c r="B122" s="1" t="s">
        <v>776</v>
      </c>
      <c r="C122" s="1" t="s">
        <v>474</v>
      </c>
      <c r="D122" s="1" t="s">
        <v>599</v>
      </c>
      <c r="E122" s="1" t="s">
        <v>375</v>
      </c>
      <c r="F122" s="4" t="s">
        <v>777</v>
      </c>
      <c r="G122" t="s">
        <v>49</v>
      </c>
      <c r="H122" s="34" t="s">
        <v>778</v>
      </c>
      <c r="I122" s="1" t="s">
        <v>20</v>
      </c>
      <c r="J122" s="9" t="s">
        <v>779</v>
      </c>
      <c r="K122" t="s">
        <v>780</v>
      </c>
      <c r="L122" t="s">
        <v>781</v>
      </c>
      <c r="M122" s="1" t="s">
        <v>782</v>
      </c>
      <c r="N122" s="1" t="s">
        <v>772</v>
      </c>
      <c r="O122" s="1" t="s">
        <v>55</v>
      </c>
      <c r="P122" s="1" t="s">
        <v>784</v>
      </c>
      <c r="Q122" s="36" t="s">
        <v>798</v>
      </c>
      <c r="R122" s="1" t="s">
        <v>785</v>
      </c>
      <c r="S122" s="1">
        <v>2025</v>
      </c>
      <c r="T122" s="1" t="s">
        <v>786</v>
      </c>
      <c r="U122" s="33" t="s">
        <v>211</v>
      </c>
    </row>
    <row r="123" spans="1:21" x14ac:dyDescent="0.35">
      <c r="A123">
        <f t="shared" si="1"/>
        <v>122</v>
      </c>
      <c r="B123" t="s">
        <v>1022</v>
      </c>
      <c r="C123" s="1" t="s">
        <v>474</v>
      </c>
      <c r="D123" t="s">
        <v>599</v>
      </c>
      <c r="E123" s="1" t="s">
        <v>375</v>
      </c>
      <c r="F123" t="s">
        <v>790</v>
      </c>
      <c r="G123" t="s">
        <v>49</v>
      </c>
      <c r="H123" s="44" t="s">
        <v>668</v>
      </c>
      <c r="I123" s="1" t="s">
        <v>20</v>
      </c>
      <c r="J123" s="1" t="s">
        <v>668</v>
      </c>
      <c r="K123" t="s">
        <v>780</v>
      </c>
      <c r="L123" s="1" t="s">
        <v>668</v>
      </c>
      <c r="M123" s="1" t="s">
        <v>782</v>
      </c>
      <c r="N123" s="1" t="s">
        <v>772</v>
      </c>
      <c r="O123" s="1" t="s">
        <v>55</v>
      </c>
      <c r="P123" s="1" t="s">
        <v>668</v>
      </c>
      <c r="Q123" s="1" t="s">
        <v>668</v>
      </c>
      <c r="R123" s="1" t="s">
        <v>785</v>
      </c>
      <c r="S123" s="1">
        <v>2025</v>
      </c>
      <c r="T123" s="1" t="s">
        <v>786</v>
      </c>
      <c r="U123" s="33" t="s">
        <v>211</v>
      </c>
    </row>
    <row r="124" spans="1:21" x14ac:dyDescent="0.35">
      <c r="A124">
        <f t="shared" si="1"/>
        <v>123</v>
      </c>
      <c r="B124" s="1" t="s">
        <v>1023</v>
      </c>
      <c r="C124" s="1" t="s">
        <v>474</v>
      </c>
      <c r="D124" t="s">
        <v>599</v>
      </c>
      <c r="E124" s="1" t="s">
        <v>375</v>
      </c>
      <c r="F124" t="s">
        <v>790</v>
      </c>
      <c r="G124" t="s">
        <v>49</v>
      </c>
      <c r="H124" s="44" t="s">
        <v>668</v>
      </c>
      <c r="I124" s="1" t="s">
        <v>20</v>
      </c>
      <c r="J124" s="1" t="s">
        <v>668</v>
      </c>
      <c r="K124" t="s">
        <v>780</v>
      </c>
      <c r="L124" s="1" t="s">
        <v>668</v>
      </c>
      <c r="M124" s="1" t="s">
        <v>782</v>
      </c>
      <c r="N124" s="1" t="s">
        <v>772</v>
      </c>
      <c r="O124" s="1" t="s">
        <v>55</v>
      </c>
      <c r="P124" s="1" t="s">
        <v>668</v>
      </c>
      <c r="Q124" s="1" t="s">
        <v>668</v>
      </c>
      <c r="R124" s="1" t="s">
        <v>785</v>
      </c>
      <c r="S124" s="1">
        <v>2025</v>
      </c>
      <c r="T124" s="1" t="s">
        <v>786</v>
      </c>
      <c r="U124" s="33" t="s">
        <v>211</v>
      </c>
    </row>
    <row r="125" spans="1:21" x14ac:dyDescent="0.35">
      <c r="A125">
        <f t="shared" si="1"/>
        <v>124</v>
      </c>
      <c r="B125" s="1" t="s">
        <v>787</v>
      </c>
      <c r="C125" s="1" t="s">
        <v>474</v>
      </c>
      <c r="D125" t="s">
        <v>599</v>
      </c>
      <c r="E125" s="1" t="s">
        <v>375</v>
      </c>
      <c r="F125" t="s">
        <v>791</v>
      </c>
      <c r="G125" t="s">
        <v>49</v>
      </c>
      <c r="H125" s="44" t="s">
        <v>668</v>
      </c>
      <c r="I125" s="1" t="s">
        <v>20</v>
      </c>
      <c r="J125" s="1" t="s">
        <v>668</v>
      </c>
      <c r="K125" t="s">
        <v>780</v>
      </c>
      <c r="L125" s="1" t="s">
        <v>668</v>
      </c>
      <c r="M125" s="1" t="s">
        <v>782</v>
      </c>
      <c r="N125" s="1" t="s">
        <v>772</v>
      </c>
      <c r="O125" s="1" t="s">
        <v>55</v>
      </c>
      <c r="P125" s="1" t="s">
        <v>668</v>
      </c>
      <c r="Q125" s="1" t="s">
        <v>668</v>
      </c>
      <c r="R125" s="1" t="s">
        <v>785</v>
      </c>
      <c r="S125" s="1">
        <v>2025</v>
      </c>
      <c r="T125" s="1" t="s">
        <v>786</v>
      </c>
      <c r="U125" s="33" t="s">
        <v>211</v>
      </c>
    </row>
    <row r="126" spans="1:21" x14ac:dyDescent="0.35">
      <c r="A126">
        <f t="shared" si="1"/>
        <v>125</v>
      </c>
      <c r="B126" s="1" t="s">
        <v>788</v>
      </c>
      <c r="C126" s="1" t="s">
        <v>474</v>
      </c>
      <c r="D126" t="s">
        <v>599</v>
      </c>
      <c r="E126" s="1" t="s">
        <v>375</v>
      </c>
      <c r="F126" t="s">
        <v>789</v>
      </c>
      <c r="G126" t="s">
        <v>49</v>
      </c>
      <c r="H126" s="44" t="s">
        <v>668</v>
      </c>
      <c r="I126" s="1" t="s">
        <v>20</v>
      </c>
      <c r="J126" s="1" t="s">
        <v>668</v>
      </c>
      <c r="K126" t="s">
        <v>780</v>
      </c>
      <c r="L126" s="1" t="s">
        <v>668</v>
      </c>
      <c r="M126" s="1" t="s">
        <v>782</v>
      </c>
      <c r="N126" s="1" t="s">
        <v>772</v>
      </c>
      <c r="O126" s="1" t="s">
        <v>55</v>
      </c>
      <c r="P126" s="1" t="s">
        <v>668</v>
      </c>
      <c r="Q126" s="1" t="s">
        <v>668</v>
      </c>
      <c r="R126" s="1" t="s">
        <v>785</v>
      </c>
      <c r="S126" s="1">
        <v>2025</v>
      </c>
      <c r="T126" s="1" t="s">
        <v>786</v>
      </c>
      <c r="U126" s="33" t="s">
        <v>211</v>
      </c>
    </row>
    <row r="127" spans="1:21" x14ac:dyDescent="0.35">
      <c r="A127">
        <f t="shared" si="1"/>
        <v>126</v>
      </c>
      <c r="B127" t="s">
        <v>793</v>
      </c>
      <c r="C127" s="1" t="s">
        <v>474</v>
      </c>
      <c r="D127" t="s">
        <v>599</v>
      </c>
      <c r="E127" s="1" t="s">
        <v>375</v>
      </c>
      <c r="F127" t="s">
        <v>789</v>
      </c>
      <c r="G127" t="s">
        <v>49</v>
      </c>
      <c r="H127" s="44" t="s">
        <v>668</v>
      </c>
      <c r="I127" s="1" t="s">
        <v>20</v>
      </c>
      <c r="J127" s="1" t="s">
        <v>668</v>
      </c>
      <c r="K127" t="s">
        <v>780</v>
      </c>
      <c r="L127" s="1" t="s">
        <v>668</v>
      </c>
      <c r="M127" s="1" t="s">
        <v>782</v>
      </c>
      <c r="N127" s="1" t="s">
        <v>215</v>
      </c>
      <c r="O127" s="1" t="s">
        <v>28</v>
      </c>
      <c r="P127" s="1" t="s">
        <v>668</v>
      </c>
      <c r="Q127" s="1" t="s">
        <v>668</v>
      </c>
      <c r="R127" s="1" t="s">
        <v>785</v>
      </c>
      <c r="S127" s="1">
        <v>2025</v>
      </c>
      <c r="T127" s="1" t="s">
        <v>786</v>
      </c>
      <c r="U127" s="33" t="s">
        <v>211</v>
      </c>
    </row>
    <row r="128" spans="1:21" x14ac:dyDescent="0.35">
      <c r="A128">
        <f t="shared" si="1"/>
        <v>127</v>
      </c>
      <c r="B128" s="1" t="s">
        <v>792</v>
      </c>
      <c r="C128" s="1" t="s">
        <v>474</v>
      </c>
      <c r="D128" t="s">
        <v>599</v>
      </c>
      <c r="E128" s="1" t="s">
        <v>375</v>
      </c>
      <c r="F128" s="4" t="s">
        <v>794</v>
      </c>
      <c r="G128" t="s">
        <v>49</v>
      </c>
      <c r="H128" s="44" t="s">
        <v>668</v>
      </c>
      <c r="I128" s="1" t="s">
        <v>20</v>
      </c>
      <c r="J128" s="1" t="s">
        <v>668</v>
      </c>
      <c r="K128" t="s">
        <v>780</v>
      </c>
      <c r="L128" s="1" t="s">
        <v>668</v>
      </c>
      <c r="M128" s="1" t="s">
        <v>782</v>
      </c>
      <c r="N128" s="1" t="s">
        <v>215</v>
      </c>
      <c r="O128" s="1" t="s">
        <v>28</v>
      </c>
      <c r="P128" s="1" t="s">
        <v>668</v>
      </c>
      <c r="Q128" s="1" t="s">
        <v>668</v>
      </c>
      <c r="R128" s="1" t="s">
        <v>785</v>
      </c>
      <c r="S128" s="1">
        <v>2025</v>
      </c>
      <c r="T128" s="1" t="s">
        <v>786</v>
      </c>
      <c r="U128" s="33" t="s">
        <v>211</v>
      </c>
    </row>
    <row r="129" spans="1:21" x14ac:dyDescent="0.35">
      <c r="A129">
        <f t="shared" ref="A129:A186" si="2">IF(B129="","",ROW()-1)</f>
        <v>128</v>
      </c>
      <c r="B129" s="1" t="s">
        <v>796</v>
      </c>
      <c r="C129" s="1" t="s">
        <v>474</v>
      </c>
      <c r="D129" t="s">
        <v>599</v>
      </c>
      <c r="E129" s="1" t="s">
        <v>375</v>
      </c>
      <c r="F129" s="4" t="s">
        <v>795</v>
      </c>
      <c r="G129" t="s">
        <v>49</v>
      </c>
      <c r="H129" s="44" t="s">
        <v>668</v>
      </c>
      <c r="I129" s="1" t="s">
        <v>20</v>
      </c>
      <c r="J129" s="1" t="s">
        <v>668</v>
      </c>
      <c r="K129" t="s">
        <v>780</v>
      </c>
      <c r="L129" s="1" t="s">
        <v>668</v>
      </c>
      <c r="M129" s="1" t="s">
        <v>782</v>
      </c>
      <c r="N129" s="1" t="s">
        <v>215</v>
      </c>
      <c r="O129" s="1" t="s">
        <v>28</v>
      </c>
      <c r="P129" s="1" t="s">
        <v>668</v>
      </c>
      <c r="Q129" s="1" t="s">
        <v>668</v>
      </c>
      <c r="R129" s="1" t="s">
        <v>785</v>
      </c>
      <c r="S129" s="1">
        <v>2025</v>
      </c>
      <c r="T129" s="1" t="s">
        <v>786</v>
      </c>
      <c r="U129" s="33" t="s">
        <v>211</v>
      </c>
    </row>
    <row r="130" spans="1:21" x14ac:dyDescent="0.35">
      <c r="A130">
        <f t="shared" si="2"/>
        <v>129</v>
      </c>
      <c r="B130" s="1" t="s">
        <v>800</v>
      </c>
      <c r="C130" s="1" t="s">
        <v>474</v>
      </c>
      <c r="D130" t="s">
        <v>599</v>
      </c>
      <c r="E130" s="1" t="s">
        <v>375</v>
      </c>
      <c r="F130" s="4" t="s">
        <v>803</v>
      </c>
      <c r="G130" t="s">
        <v>49</v>
      </c>
      <c r="H130" s="34" t="s">
        <v>804</v>
      </c>
      <c r="I130" s="1" t="s">
        <v>20</v>
      </c>
      <c r="J130" s="9" t="s">
        <v>14</v>
      </c>
      <c r="K130" t="s">
        <v>780</v>
      </c>
      <c r="L130" t="s">
        <v>805</v>
      </c>
      <c r="M130" s="1" t="s">
        <v>747</v>
      </c>
      <c r="N130" s="1" t="s">
        <v>772</v>
      </c>
      <c r="O130" s="1" t="s">
        <v>55</v>
      </c>
      <c r="P130" s="1" t="s">
        <v>668</v>
      </c>
      <c r="Q130" s="1" t="s">
        <v>807</v>
      </c>
      <c r="R130" s="1">
        <v>25</v>
      </c>
      <c r="S130" s="1">
        <v>2024</v>
      </c>
      <c r="T130" s="1" t="s">
        <v>808</v>
      </c>
      <c r="U130" s="33" t="s">
        <v>809</v>
      </c>
    </row>
    <row r="131" spans="1:21" x14ac:dyDescent="0.35">
      <c r="A131">
        <f t="shared" si="2"/>
        <v>130</v>
      </c>
      <c r="B131" s="1" t="s">
        <v>801</v>
      </c>
      <c r="C131" s="1" t="s">
        <v>474</v>
      </c>
      <c r="D131" t="s">
        <v>599</v>
      </c>
      <c r="E131" s="1" t="s">
        <v>375</v>
      </c>
      <c r="F131" s="4" t="s">
        <v>803</v>
      </c>
      <c r="G131" t="s">
        <v>49</v>
      </c>
      <c r="H131" s="34" t="s">
        <v>804</v>
      </c>
      <c r="I131" s="1" t="s">
        <v>20</v>
      </c>
      <c r="J131" s="9" t="s">
        <v>14</v>
      </c>
      <c r="K131" t="s">
        <v>780</v>
      </c>
      <c r="L131" s="1" t="s">
        <v>668</v>
      </c>
      <c r="M131" s="1" t="s">
        <v>747</v>
      </c>
      <c r="N131" s="1" t="s">
        <v>215</v>
      </c>
      <c r="O131" s="1" t="s">
        <v>28</v>
      </c>
      <c r="P131" s="1" t="s">
        <v>668</v>
      </c>
      <c r="Q131" s="1" t="s">
        <v>807</v>
      </c>
      <c r="R131" s="1">
        <v>25</v>
      </c>
      <c r="S131" s="1">
        <v>2024</v>
      </c>
      <c r="T131" s="1" t="s">
        <v>808</v>
      </c>
      <c r="U131" s="33" t="s">
        <v>809</v>
      </c>
    </row>
    <row r="132" spans="1:21" x14ac:dyDescent="0.35">
      <c r="A132">
        <f t="shared" si="2"/>
        <v>131</v>
      </c>
      <c r="B132" s="1" t="s">
        <v>802</v>
      </c>
      <c r="C132" s="1" t="s">
        <v>474</v>
      </c>
      <c r="D132" t="s">
        <v>599</v>
      </c>
      <c r="E132" s="1" t="s">
        <v>375</v>
      </c>
      <c r="F132" s="4" t="s">
        <v>803</v>
      </c>
      <c r="G132" t="s">
        <v>49</v>
      </c>
      <c r="H132" s="34" t="s">
        <v>804</v>
      </c>
      <c r="I132" s="1" t="s">
        <v>20</v>
      </c>
      <c r="J132" s="9" t="s">
        <v>14</v>
      </c>
      <c r="K132" t="s">
        <v>780</v>
      </c>
      <c r="L132" s="1" t="s">
        <v>668</v>
      </c>
      <c r="M132" s="1" t="s">
        <v>747</v>
      </c>
      <c r="N132" s="1" t="s">
        <v>806</v>
      </c>
      <c r="O132" s="1" t="s">
        <v>1030</v>
      </c>
      <c r="P132" s="1" t="s">
        <v>668</v>
      </c>
      <c r="Q132" s="1" t="s">
        <v>807</v>
      </c>
      <c r="R132" s="1">
        <v>25</v>
      </c>
      <c r="S132" s="1">
        <v>2024</v>
      </c>
      <c r="T132" s="1" t="s">
        <v>808</v>
      </c>
      <c r="U132" s="33" t="s">
        <v>809</v>
      </c>
    </row>
    <row r="133" spans="1:21" x14ac:dyDescent="0.35">
      <c r="A133">
        <f t="shared" si="2"/>
        <v>132</v>
      </c>
      <c r="B133" s="45" t="s">
        <v>810</v>
      </c>
      <c r="C133" s="1" t="s">
        <v>474</v>
      </c>
      <c r="D133" s="1" t="s">
        <v>812</v>
      </c>
      <c r="E133" s="1" t="s">
        <v>375</v>
      </c>
      <c r="F133" s="4" t="s">
        <v>811</v>
      </c>
      <c r="G133" t="s">
        <v>49</v>
      </c>
      <c r="H133" s="34" t="s">
        <v>668</v>
      </c>
      <c r="I133" s="1" t="s">
        <v>20</v>
      </c>
      <c r="J133" s="1" t="s">
        <v>668</v>
      </c>
      <c r="K133" s="1" t="s">
        <v>668</v>
      </c>
      <c r="L133" s="1" t="s">
        <v>668</v>
      </c>
      <c r="M133" s="1" t="s">
        <v>668</v>
      </c>
      <c r="N133" s="1" t="s">
        <v>668</v>
      </c>
      <c r="O133" s="1" t="s">
        <v>668</v>
      </c>
      <c r="P133" s="1" t="s">
        <v>668</v>
      </c>
      <c r="Q133" s="1" t="s">
        <v>668</v>
      </c>
      <c r="R133" s="1" t="s">
        <v>668</v>
      </c>
      <c r="S133" s="1">
        <v>2019</v>
      </c>
      <c r="T133" s="1" t="s">
        <v>813</v>
      </c>
      <c r="U133" s="1" t="s">
        <v>814</v>
      </c>
    </row>
    <row r="134" spans="1:21" x14ac:dyDescent="0.35">
      <c r="A134">
        <f t="shared" si="2"/>
        <v>133</v>
      </c>
      <c r="B134" s="45" t="s">
        <v>815</v>
      </c>
      <c r="C134" s="1" t="s">
        <v>474</v>
      </c>
      <c r="D134" t="s">
        <v>473</v>
      </c>
      <c r="E134" s="1" t="s">
        <v>375</v>
      </c>
      <c r="F134" s="4" t="s">
        <v>816</v>
      </c>
      <c r="G134" t="s">
        <v>49</v>
      </c>
      <c r="H134" s="34" t="s">
        <v>668</v>
      </c>
      <c r="I134" s="1" t="s">
        <v>20</v>
      </c>
      <c r="J134" s="1" t="s">
        <v>668</v>
      </c>
      <c r="K134" s="1" t="s">
        <v>668</v>
      </c>
      <c r="L134" s="1" t="s">
        <v>668</v>
      </c>
      <c r="M134" s="1" t="s">
        <v>668</v>
      </c>
      <c r="N134" s="1" t="s">
        <v>668</v>
      </c>
      <c r="O134" s="1" t="s">
        <v>668</v>
      </c>
      <c r="P134" s="1" t="s">
        <v>668</v>
      </c>
      <c r="Q134" s="1" t="s">
        <v>668</v>
      </c>
      <c r="R134" s="1" t="s">
        <v>668</v>
      </c>
      <c r="S134" s="1">
        <v>2023</v>
      </c>
      <c r="T134" s="1" t="s">
        <v>817</v>
      </c>
      <c r="U134" s="1" t="s">
        <v>814</v>
      </c>
    </row>
    <row r="135" spans="1:21" x14ac:dyDescent="0.35">
      <c r="A135">
        <f t="shared" si="2"/>
        <v>134</v>
      </c>
      <c r="B135" s="1" t="s">
        <v>818</v>
      </c>
      <c r="C135" s="1" t="s">
        <v>468</v>
      </c>
      <c r="D135" s="1" t="s">
        <v>763</v>
      </c>
      <c r="E135" s="1" t="s">
        <v>375</v>
      </c>
      <c r="F135" s="4" t="s">
        <v>819</v>
      </c>
      <c r="G135" t="s">
        <v>821</v>
      </c>
      <c r="H135" t="s">
        <v>820</v>
      </c>
      <c r="I135" s="1" t="s">
        <v>20</v>
      </c>
      <c r="J135" s="1" t="s">
        <v>668</v>
      </c>
      <c r="K135" t="s">
        <v>780</v>
      </c>
      <c r="L135" s="1" t="s">
        <v>668</v>
      </c>
      <c r="M135" s="1" t="s">
        <v>766</v>
      </c>
      <c r="N135" s="1" t="s">
        <v>593</v>
      </c>
      <c r="O135" s="1" t="s">
        <v>28</v>
      </c>
      <c r="P135" s="1" t="s">
        <v>822</v>
      </c>
      <c r="Q135" s="1" t="s">
        <v>823</v>
      </c>
      <c r="R135" s="1" t="s">
        <v>824</v>
      </c>
      <c r="S135" s="1">
        <v>2021</v>
      </c>
      <c r="T135" s="1" t="s">
        <v>825</v>
      </c>
      <c r="U135" s="33" t="s">
        <v>826</v>
      </c>
    </row>
    <row r="136" spans="1:21" x14ac:dyDescent="0.35">
      <c r="A136">
        <f t="shared" si="2"/>
        <v>135</v>
      </c>
      <c r="B136" s="1" t="s">
        <v>827</v>
      </c>
      <c r="C136" s="1" t="s">
        <v>474</v>
      </c>
      <c r="D136" t="s">
        <v>599</v>
      </c>
      <c r="E136" s="1" t="s">
        <v>375</v>
      </c>
      <c r="F136" s="1" t="s">
        <v>829</v>
      </c>
      <c r="G136" t="s">
        <v>49</v>
      </c>
      <c r="H136" s="34" t="s">
        <v>668</v>
      </c>
      <c r="I136" s="1" t="s">
        <v>20</v>
      </c>
      <c r="J136" s="1" t="s">
        <v>668</v>
      </c>
      <c r="K136" t="s">
        <v>780</v>
      </c>
      <c r="L136" s="1" t="s">
        <v>668</v>
      </c>
      <c r="M136" s="1" t="s">
        <v>830</v>
      </c>
      <c r="N136" s="1" t="s">
        <v>772</v>
      </c>
      <c r="O136" s="1" t="s">
        <v>55</v>
      </c>
      <c r="P136" s="1" t="s">
        <v>668</v>
      </c>
      <c r="Q136" s="1" t="s">
        <v>831</v>
      </c>
      <c r="R136" s="1">
        <v>30</v>
      </c>
      <c r="S136" s="1">
        <v>2024</v>
      </c>
      <c r="T136" s="1" t="s">
        <v>832</v>
      </c>
      <c r="U136" s="33" t="s">
        <v>833</v>
      </c>
    </row>
    <row r="137" spans="1:21" x14ac:dyDescent="0.35">
      <c r="A137">
        <f t="shared" si="2"/>
        <v>136</v>
      </c>
      <c r="B137" s="1" t="s">
        <v>828</v>
      </c>
      <c r="C137" s="1" t="s">
        <v>474</v>
      </c>
      <c r="D137" t="s">
        <v>599</v>
      </c>
      <c r="E137" s="1" t="s">
        <v>375</v>
      </c>
      <c r="F137" s="1" t="s">
        <v>829</v>
      </c>
      <c r="G137" t="s">
        <v>49</v>
      </c>
      <c r="H137" s="34" t="s">
        <v>668</v>
      </c>
      <c r="I137" s="1" t="s">
        <v>20</v>
      </c>
      <c r="J137" s="1" t="s">
        <v>668</v>
      </c>
      <c r="K137" t="s">
        <v>780</v>
      </c>
      <c r="L137" s="1" t="s">
        <v>668</v>
      </c>
      <c r="M137" s="1" t="s">
        <v>830</v>
      </c>
      <c r="N137" s="1" t="s">
        <v>772</v>
      </c>
      <c r="O137" s="1" t="s">
        <v>55</v>
      </c>
      <c r="P137" s="1" t="s">
        <v>668</v>
      </c>
      <c r="Q137" s="1">
        <v>7.5</v>
      </c>
      <c r="R137" s="1">
        <v>30</v>
      </c>
      <c r="S137" s="1">
        <v>2024</v>
      </c>
      <c r="T137" s="1" t="s">
        <v>832</v>
      </c>
      <c r="U137" s="33" t="s">
        <v>833</v>
      </c>
    </row>
    <row r="138" spans="1:21" x14ac:dyDescent="0.35">
      <c r="A138">
        <f t="shared" si="2"/>
        <v>137</v>
      </c>
      <c r="B138" s="1" t="s">
        <v>835</v>
      </c>
      <c r="C138" s="1" t="s">
        <v>468</v>
      </c>
      <c r="D138" s="1" t="s">
        <v>1017</v>
      </c>
      <c r="E138" s="1" t="s">
        <v>375</v>
      </c>
      <c r="F138" s="4" t="s">
        <v>326</v>
      </c>
      <c r="G138" s="1" t="s">
        <v>843</v>
      </c>
      <c r="H138" s="34" t="s">
        <v>844</v>
      </c>
      <c r="I138" s="1" t="s">
        <v>675</v>
      </c>
      <c r="J138" s="9" t="s">
        <v>181</v>
      </c>
      <c r="K138" t="s">
        <v>780</v>
      </c>
      <c r="L138" s="1" t="s">
        <v>668</v>
      </c>
      <c r="M138" s="1" t="s">
        <v>766</v>
      </c>
      <c r="N138" s="1" t="s">
        <v>842</v>
      </c>
      <c r="O138" s="1" t="s">
        <v>55</v>
      </c>
      <c r="P138" s="1" t="s">
        <v>846</v>
      </c>
      <c r="Q138" s="1">
        <v>9</v>
      </c>
      <c r="R138" s="1">
        <v>37</v>
      </c>
      <c r="S138" s="1">
        <v>2019</v>
      </c>
      <c r="T138" s="1" t="s">
        <v>845</v>
      </c>
      <c r="U138" s="33" t="s">
        <v>847</v>
      </c>
    </row>
    <row r="139" spans="1:21" x14ac:dyDescent="0.35">
      <c r="A139">
        <f t="shared" si="2"/>
        <v>138</v>
      </c>
      <c r="B139" s="1" t="s">
        <v>836</v>
      </c>
      <c r="C139" s="1" t="s">
        <v>1016</v>
      </c>
      <c r="D139" s="1" t="s">
        <v>1017</v>
      </c>
      <c r="E139" s="1" t="s">
        <v>375</v>
      </c>
      <c r="F139" s="4" t="s">
        <v>326</v>
      </c>
      <c r="G139" s="1" t="s">
        <v>327</v>
      </c>
      <c r="H139" s="34" t="s">
        <v>668</v>
      </c>
      <c r="I139" s="1" t="s">
        <v>14</v>
      </c>
      <c r="J139" s="1" t="s">
        <v>668</v>
      </c>
      <c r="K139" s="1" t="s">
        <v>780</v>
      </c>
      <c r="L139" s="1" t="s">
        <v>668</v>
      </c>
      <c r="M139" s="1" t="s">
        <v>766</v>
      </c>
      <c r="N139" s="1" t="s">
        <v>848</v>
      </c>
      <c r="O139" s="1" t="s">
        <v>97</v>
      </c>
      <c r="P139" s="1" t="s">
        <v>849</v>
      </c>
      <c r="Q139" s="1">
        <v>7</v>
      </c>
      <c r="R139" s="1">
        <v>30</v>
      </c>
      <c r="S139" s="1">
        <v>2019</v>
      </c>
      <c r="T139" s="1" t="s">
        <v>850</v>
      </c>
      <c r="U139" s="33" t="s">
        <v>494</v>
      </c>
    </row>
    <row r="140" spans="1:21" x14ac:dyDescent="0.35">
      <c r="A140">
        <f t="shared" si="2"/>
        <v>139</v>
      </c>
      <c r="B140" s="1" t="s">
        <v>837</v>
      </c>
      <c r="C140" s="1" t="s">
        <v>468</v>
      </c>
      <c r="D140" s="1" t="s">
        <v>1017</v>
      </c>
      <c r="E140" s="1" t="s">
        <v>375</v>
      </c>
      <c r="F140" s="4" t="s">
        <v>326</v>
      </c>
      <c r="G140" s="1" t="s">
        <v>839</v>
      </c>
      <c r="H140" s="9" t="s">
        <v>838</v>
      </c>
      <c r="I140" s="1" t="s">
        <v>20</v>
      </c>
      <c r="J140" s="9" t="s">
        <v>840</v>
      </c>
      <c r="K140" s="1" t="s">
        <v>780</v>
      </c>
      <c r="L140" s="1" t="s">
        <v>668</v>
      </c>
      <c r="M140" s="1" t="s">
        <v>766</v>
      </c>
      <c r="N140" s="1" t="s">
        <v>841</v>
      </c>
      <c r="O140" s="1" t="s">
        <v>668</v>
      </c>
      <c r="P140" s="1" t="s">
        <v>668</v>
      </c>
      <c r="Q140" s="1">
        <v>9</v>
      </c>
      <c r="R140" s="1">
        <v>37</v>
      </c>
      <c r="S140" s="1">
        <v>2019</v>
      </c>
      <c r="T140" s="1" t="s">
        <v>845</v>
      </c>
      <c r="U140" s="33" t="s">
        <v>847</v>
      </c>
    </row>
    <row r="141" spans="1:21" x14ac:dyDescent="0.35">
      <c r="A141">
        <f t="shared" si="2"/>
        <v>140</v>
      </c>
      <c r="B141" s="1" t="s">
        <v>851</v>
      </c>
      <c r="C141" s="1" t="s">
        <v>1016</v>
      </c>
      <c r="D141" s="1" t="s">
        <v>855</v>
      </c>
      <c r="E141" s="1" t="s">
        <v>375</v>
      </c>
      <c r="F141" s="4" t="s">
        <v>854</v>
      </c>
      <c r="G141" s="1" t="s">
        <v>857</v>
      </c>
      <c r="H141" s="34" t="s">
        <v>861</v>
      </c>
      <c r="I141" s="1" t="s">
        <v>14</v>
      </c>
      <c r="J141" s="9" t="s">
        <v>860</v>
      </c>
      <c r="K141" s="1" t="s">
        <v>780</v>
      </c>
      <c r="L141" s="1" t="s">
        <v>668</v>
      </c>
      <c r="M141" s="1" t="s">
        <v>766</v>
      </c>
      <c r="N141" s="1" t="s">
        <v>848</v>
      </c>
      <c r="O141" s="1" t="s">
        <v>97</v>
      </c>
      <c r="P141" s="1" t="s">
        <v>865</v>
      </c>
      <c r="Q141" s="1">
        <v>8</v>
      </c>
      <c r="R141" s="1">
        <v>30</v>
      </c>
      <c r="S141" s="1">
        <v>2023</v>
      </c>
      <c r="T141" s="1" t="s">
        <v>868</v>
      </c>
      <c r="U141" s="33" t="s">
        <v>869</v>
      </c>
    </row>
    <row r="142" spans="1:21" x14ac:dyDescent="0.35">
      <c r="A142">
        <f t="shared" si="2"/>
        <v>141</v>
      </c>
      <c r="B142" s="1" t="s">
        <v>852</v>
      </c>
      <c r="C142" s="1" t="s">
        <v>1016</v>
      </c>
      <c r="D142" s="1" t="s">
        <v>855</v>
      </c>
      <c r="E142" s="1" t="s">
        <v>375</v>
      </c>
      <c r="F142" s="4" t="s">
        <v>854</v>
      </c>
      <c r="G142" s="1" t="s">
        <v>857</v>
      </c>
      <c r="H142" s="34" t="s">
        <v>861</v>
      </c>
      <c r="I142" s="1" t="s">
        <v>14</v>
      </c>
      <c r="J142" s="9" t="s">
        <v>860</v>
      </c>
      <c r="K142" s="1" t="s">
        <v>780</v>
      </c>
      <c r="L142" s="1" t="s">
        <v>668</v>
      </c>
      <c r="M142" s="1" t="s">
        <v>766</v>
      </c>
      <c r="N142" s="1" t="s">
        <v>848</v>
      </c>
      <c r="O142" s="1" t="s">
        <v>864</v>
      </c>
      <c r="P142" s="1" t="s">
        <v>668</v>
      </c>
      <c r="Q142" s="1">
        <v>8</v>
      </c>
      <c r="R142" s="1">
        <v>30</v>
      </c>
      <c r="S142" s="1">
        <v>2023</v>
      </c>
      <c r="T142" s="1" t="s">
        <v>868</v>
      </c>
      <c r="U142" s="33" t="s">
        <v>869</v>
      </c>
    </row>
    <row r="143" spans="1:21" x14ac:dyDescent="0.35">
      <c r="A143">
        <f t="shared" si="2"/>
        <v>142</v>
      </c>
      <c r="B143" s="1" t="s">
        <v>853</v>
      </c>
      <c r="C143" s="1" t="s">
        <v>1016</v>
      </c>
      <c r="D143" s="1" t="s">
        <v>855</v>
      </c>
      <c r="E143" s="1" t="s">
        <v>375</v>
      </c>
      <c r="F143" s="4" t="s">
        <v>854</v>
      </c>
      <c r="G143" s="1" t="s">
        <v>857</v>
      </c>
      <c r="H143" s="34" t="s">
        <v>861</v>
      </c>
      <c r="I143" s="1" t="s">
        <v>14</v>
      </c>
      <c r="J143" s="9" t="s">
        <v>860</v>
      </c>
      <c r="K143" s="1" t="s">
        <v>780</v>
      </c>
      <c r="L143" s="1" t="s">
        <v>668</v>
      </c>
      <c r="M143" s="1" t="s">
        <v>766</v>
      </c>
      <c r="N143" s="1" t="s">
        <v>848</v>
      </c>
      <c r="O143" s="1" t="s">
        <v>864</v>
      </c>
      <c r="P143" s="1" t="s">
        <v>866</v>
      </c>
      <c r="Q143" s="1">
        <v>8</v>
      </c>
      <c r="R143" s="1">
        <v>30</v>
      </c>
      <c r="S143" s="1">
        <v>2023</v>
      </c>
      <c r="T143" s="1" t="s">
        <v>868</v>
      </c>
      <c r="U143" s="33" t="s">
        <v>869</v>
      </c>
    </row>
    <row r="144" spans="1:21" x14ac:dyDescent="0.35">
      <c r="A144">
        <f t="shared" si="2"/>
        <v>143</v>
      </c>
      <c r="B144" s="1" t="s">
        <v>856</v>
      </c>
      <c r="C144" s="1" t="s">
        <v>1016</v>
      </c>
      <c r="D144" s="1" t="s">
        <v>855</v>
      </c>
      <c r="E144" s="1" t="s">
        <v>375</v>
      </c>
      <c r="F144" s="4" t="s">
        <v>854</v>
      </c>
      <c r="G144" s="1" t="s">
        <v>858</v>
      </c>
      <c r="H144" s="34" t="s">
        <v>862</v>
      </c>
      <c r="I144" s="1" t="s">
        <v>859</v>
      </c>
      <c r="J144" s="1" t="s">
        <v>863</v>
      </c>
      <c r="K144" s="1" t="s">
        <v>780</v>
      </c>
      <c r="L144" s="1" t="s">
        <v>668</v>
      </c>
      <c r="M144" s="1" t="s">
        <v>766</v>
      </c>
      <c r="N144" s="1" t="s">
        <v>848</v>
      </c>
      <c r="O144" s="1" t="s">
        <v>864</v>
      </c>
      <c r="P144" s="1" t="s">
        <v>867</v>
      </c>
      <c r="Q144" s="1">
        <v>8</v>
      </c>
      <c r="R144" s="1">
        <v>30</v>
      </c>
      <c r="S144" s="1">
        <v>2023</v>
      </c>
      <c r="T144" s="1" t="s">
        <v>868</v>
      </c>
      <c r="U144" s="33" t="s">
        <v>869</v>
      </c>
    </row>
    <row r="145" spans="1:21" x14ac:dyDescent="0.35">
      <c r="A145">
        <f t="shared" si="2"/>
        <v>144</v>
      </c>
      <c r="B145" s="1" t="s">
        <v>873</v>
      </c>
      <c r="C145" s="1" t="s">
        <v>875</v>
      </c>
      <c r="D145" s="1" t="s">
        <v>1095</v>
      </c>
      <c r="E145" s="1" t="s">
        <v>376</v>
      </c>
      <c r="F145" s="4" t="s">
        <v>874</v>
      </c>
      <c r="G145" s="1" t="s">
        <v>876</v>
      </c>
      <c r="I145" s="1" t="s">
        <v>128</v>
      </c>
      <c r="K145" s="1" t="s">
        <v>780</v>
      </c>
      <c r="M145" s="1" t="s">
        <v>610</v>
      </c>
      <c r="N145" s="1" t="s">
        <v>878</v>
      </c>
      <c r="O145" s="1" t="s">
        <v>551</v>
      </c>
      <c r="S145" s="1">
        <v>2021</v>
      </c>
      <c r="T145" s="1" t="s">
        <v>877</v>
      </c>
      <c r="U145" s="33" t="s">
        <v>227</v>
      </c>
    </row>
    <row r="146" spans="1:21" ht="29" x14ac:dyDescent="0.35">
      <c r="A146">
        <f t="shared" si="2"/>
        <v>145</v>
      </c>
      <c r="B146" s="1" t="s">
        <v>879</v>
      </c>
      <c r="C146" s="1" t="s">
        <v>882</v>
      </c>
      <c r="D146" s="1" t="s">
        <v>1106</v>
      </c>
      <c r="E146" s="1" t="s">
        <v>376</v>
      </c>
      <c r="F146" s="4" t="s">
        <v>880</v>
      </c>
      <c r="G146" s="6" t="s">
        <v>881</v>
      </c>
      <c r="H146" s="5"/>
      <c r="I146" s="1" t="s">
        <v>20</v>
      </c>
      <c r="K146" s="1" t="s">
        <v>780</v>
      </c>
      <c r="M146" s="1" t="s">
        <v>766</v>
      </c>
      <c r="N146" s="1" t="s">
        <v>883</v>
      </c>
      <c r="O146" s="1" t="s">
        <v>551</v>
      </c>
      <c r="Q146" s="1">
        <v>7.5</v>
      </c>
      <c r="R146" s="1">
        <v>30</v>
      </c>
      <c r="S146" s="1">
        <v>2023</v>
      </c>
      <c r="T146" s="1" t="s">
        <v>884</v>
      </c>
      <c r="U146" s="33" t="s">
        <v>885</v>
      </c>
    </row>
    <row r="147" spans="1:21" x14ac:dyDescent="0.35">
      <c r="A147">
        <f t="shared" si="2"/>
        <v>146</v>
      </c>
      <c r="B147" s="1" t="s">
        <v>886</v>
      </c>
      <c r="C147" s="46" t="s">
        <v>476</v>
      </c>
      <c r="D147" t="s">
        <v>1107</v>
      </c>
      <c r="E147" s="1" t="s">
        <v>376</v>
      </c>
      <c r="F147" s="4" t="s">
        <v>887</v>
      </c>
      <c r="G147" s="46" t="s">
        <v>476</v>
      </c>
      <c r="I147" s="1" t="s">
        <v>20</v>
      </c>
      <c r="M147" s="1" t="s">
        <v>888</v>
      </c>
      <c r="N147" s="1" t="s">
        <v>889</v>
      </c>
      <c r="O147" s="1" t="s">
        <v>97</v>
      </c>
      <c r="S147" s="1">
        <v>2020</v>
      </c>
      <c r="T147" s="1" t="s">
        <v>890</v>
      </c>
      <c r="U147" s="33" t="s">
        <v>891</v>
      </c>
    </row>
    <row r="148" spans="1:21" x14ac:dyDescent="0.35">
      <c r="A148">
        <f t="shared" si="2"/>
        <v>147</v>
      </c>
      <c r="B148" t="s">
        <v>892</v>
      </c>
      <c r="C148" s="46" t="s">
        <v>476</v>
      </c>
      <c r="D148" s="1" t="s">
        <v>1108</v>
      </c>
      <c r="E148" s="1" t="s">
        <v>376</v>
      </c>
      <c r="F148" t="s">
        <v>893</v>
      </c>
      <c r="G148" s="46" t="s">
        <v>476</v>
      </c>
      <c r="I148" s="1" t="s">
        <v>128</v>
      </c>
      <c r="M148" s="1" t="s">
        <v>894</v>
      </c>
      <c r="N148" t="s">
        <v>895</v>
      </c>
      <c r="O148" s="1" t="s">
        <v>97</v>
      </c>
      <c r="S148" s="1">
        <v>2020</v>
      </c>
      <c r="T148" s="1" t="s">
        <v>890</v>
      </c>
      <c r="U148" s="33" t="s">
        <v>891</v>
      </c>
    </row>
    <row r="149" spans="1:21" x14ac:dyDescent="0.35">
      <c r="A149">
        <f t="shared" si="2"/>
        <v>148</v>
      </c>
      <c r="B149" t="s">
        <v>896</v>
      </c>
      <c r="C149" t="s">
        <v>1123</v>
      </c>
      <c r="D149" s="1" t="s">
        <v>1097</v>
      </c>
      <c r="E149" s="1" t="s">
        <v>376</v>
      </c>
      <c r="F149" s="4" t="s">
        <v>898</v>
      </c>
      <c r="G149" s="1" t="s">
        <v>899</v>
      </c>
      <c r="I149" s="1" t="s">
        <v>276</v>
      </c>
      <c r="M149" t="s">
        <v>898</v>
      </c>
      <c r="N149" t="s">
        <v>900</v>
      </c>
      <c r="O149" s="1" t="s">
        <v>97</v>
      </c>
      <c r="S149" s="1">
        <v>2015</v>
      </c>
      <c r="T149" s="1" t="s">
        <v>901</v>
      </c>
      <c r="U149" s="33" t="s">
        <v>902</v>
      </c>
    </row>
    <row r="150" spans="1:21" x14ac:dyDescent="0.35">
      <c r="A150">
        <f t="shared" si="2"/>
        <v>149</v>
      </c>
      <c r="B150" t="s">
        <v>903</v>
      </c>
      <c r="C150" s="1" t="s">
        <v>904</v>
      </c>
      <c r="D150" s="1" t="s">
        <v>1097</v>
      </c>
      <c r="E150" s="1" t="s">
        <v>376</v>
      </c>
      <c r="F150" t="s">
        <v>906</v>
      </c>
      <c r="G150" t="s">
        <v>905</v>
      </c>
      <c r="I150" t="s">
        <v>128</v>
      </c>
      <c r="M150" t="s">
        <v>906</v>
      </c>
      <c r="N150" t="s">
        <v>907</v>
      </c>
      <c r="O150" s="1" t="s">
        <v>1032</v>
      </c>
      <c r="S150" s="1">
        <v>2014</v>
      </c>
      <c r="T150" s="1" t="s">
        <v>908</v>
      </c>
      <c r="U150" s="33" t="s">
        <v>909</v>
      </c>
    </row>
    <row r="151" spans="1:21" x14ac:dyDescent="0.35">
      <c r="A151">
        <f t="shared" si="2"/>
        <v>150</v>
      </c>
      <c r="B151" s="1" t="s">
        <v>910</v>
      </c>
      <c r="C151" s="1" t="s">
        <v>1016</v>
      </c>
      <c r="D151" s="1" t="s">
        <v>1097</v>
      </c>
      <c r="E151" s="1" t="s">
        <v>376</v>
      </c>
      <c r="F151" t="s">
        <v>911</v>
      </c>
      <c r="G151" s="1" t="s">
        <v>912</v>
      </c>
      <c r="I151" s="1" t="s">
        <v>128</v>
      </c>
      <c r="J151" s="1" t="s">
        <v>913</v>
      </c>
      <c r="K151" s="1" t="s">
        <v>914</v>
      </c>
      <c r="M151" s="1" t="s">
        <v>766</v>
      </c>
      <c r="N151" t="s">
        <v>915</v>
      </c>
      <c r="O151" s="1" t="s">
        <v>55</v>
      </c>
      <c r="R151" s="1">
        <v>28</v>
      </c>
      <c r="S151" s="1">
        <v>2019</v>
      </c>
      <c r="T151" s="1" t="s">
        <v>916</v>
      </c>
      <c r="U151" s="33" t="s">
        <v>917</v>
      </c>
    </row>
    <row r="152" spans="1:21" ht="72.5" x14ac:dyDescent="0.35">
      <c r="A152">
        <f t="shared" si="2"/>
        <v>151</v>
      </c>
      <c r="B152" s="1" t="s">
        <v>918</v>
      </c>
      <c r="C152" s="6" t="s">
        <v>941</v>
      </c>
      <c r="D152" s="1" t="s">
        <v>1097</v>
      </c>
      <c r="E152" s="1" t="s">
        <v>376</v>
      </c>
      <c r="F152" s="4" t="s">
        <v>920</v>
      </c>
      <c r="G152" s="1" t="s">
        <v>925</v>
      </c>
      <c r="H152" s="5" t="s">
        <v>919</v>
      </c>
      <c r="I152" s="1" t="s">
        <v>128</v>
      </c>
      <c r="K152" s="1" t="s">
        <v>914</v>
      </c>
      <c r="M152" s="1" t="s">
        <v>766</v>
      </c>
      <c r="N152" s="1" t="s">
        <v>921</v>
      </c>
      <c r="O152" s="1" t="s">
        <v>225</v>
      </c>
      <c r="P152" s="1" t="s">
        <v>922</v>
      </c>
      <c r="S152" s="1">
        <v>2022</v>
      </c>
      <c r="T152" s="1" t="s">
        <v>923</v>
      </c>
      <c r="U152" s="33" t="s">
        <v>924</v>
      </c>
    </row>
    <row r="153" spans="1:21" x14ac:dyDescent="0.35">
      <c r="A153">
        <f t="shared" si="2"/>
        <v>152</v>
      </c>
      <c r="B153" s="1" t="s">
        <v>926</v>
      </c>
      <c r="C153" s="1" t="s">
        <v>941</v>
      </c>
      <c r="D153" s="1" t="s">
        <v>1097</v>
      </c>
      <c r="E153" s="1" t="s">
        <v>376</v>
      </c>
      <c r="F153" s="4" t="s">
        <v>927</v>
      </c>
      <c r="G153" s="1" t="s">
        <v>925</v>
      </c>
      <c r="I153" s="1" t="s">
        <v>128</v>
      </c>
      <c r="M153" t="s">
        <v>355</v>
      </c>
      <c r="N153" s="1" t="s">
        <v>928</v>
      </c>
      <c r="O153" s="1" t="s">
        <v>225</v>
      </c>
      <c r="S153" s="1">
        <v>2018</v>
      </c>
      <c r="T153" s="1" t="s">
        <v>929</v>
      </c>
      <c r="U153" s="33" t="s">
        <v>930</v>
      </c>
    </row>
    <row r="154" spans="1:21" x14ac:dyDescent="0.35">
      <c r="A154">
        <f t="shared" si="2"/>
        <v>153</v>
      </c>
      <c r="B154" t="s">
        <v>931</v>
      </c>
      <c r="C154" s="1" t="s">
        <v>942</v>
      </c>
      <c r="D154" s="1" t="s">
        <v>1101</v>
      </c>
      <c r="E154" s="1" t="s">
        <v>376</v>
      </c>
      <c r="F154" s="2" t="s">
        <v>936</v>
      </c>
      <c r="G154" t="s">
        <v>943</v>
      </c>
      <c r="I154" s="1" t="s">
        <v>276</v>
      </c>
      <c r="M154" t="s">
        <v>355</v>
      </c>
      <c r="N154" s="1" t="s">
        <v>944</v>
      </c>
      <c r="O154" s="1" t="s">
        <v>97</v>
      </c>
      <c r="S154" s="1">
        <v>2020</v>
      </c>
      <c r="T154" s="1" t="s">
        <v>945</v>
      </c>
      <c r="U154" s="33" t="s">
        <v>946</v>
      </c>
    </row>
    <row r="155" spans="1:21" x14ac:dyDescent="0.35">
      <c r="A155">
        <f t="shared" si="2"/>
        <v>154</v>
      </c>
      <c r="B155" t="s">
        <v>932</v>
      </c>
      <c r="C155" s="1" t="s">
        <v>942</v>
      </c>
      <c r="D155" s="1" t="s">
        <v>1109</v>
      </c>
      <c r="E155" s="1" t="s">
        <v>376</v>
      </c>
      <c r="F155" s="2" t="s">
        <v>937</v>
      </c>
      <c r="G155" t="s">
        <v>943</v>
      </c>
      <c r="I155" s="1" t="s">
        <v>276</v>
      </c>
      <c r="M155" t="s">
        <v>355</v>
      </c>
      <c r="N155" s="1" t="s">
        <v>944</v>
      </c>
      <c r="O155" s="1" t="s">
        <v>97</v>
      </c>
      <c r="S155" s="1">
        <v>2020</v>
      </c>
      <c r="T155" s="1" t="s">
        <v>945</v>
      </c>
      <c r="U155" s="33" t="s">
        <v>946</v>
      </c>
    </row>
    <row r="156" spans="1:21" x14ac:dyDescent="0.35">
      <c r="A156">
        <f t="shared" si="2"/>
        <v>155</v>
      </c>
      <c r="B156" t="s">
        <v>933</v>
      </c>
      <c r="C156" s="1" t="s">
        <v>942</v>
      </c>
      <c r="D156" s="1" t="s">
        <v>1109</v>
      </c>
      <c r="E156" s="1" t="s">
        <v>376</v>
      </c>
      <c r="F156" s="2" t="s">
        <v>938</v>
      </c>
      <c r="G156" t="s">
        <v>943</v>
      </c>
      <c r="I156" s="1" t="s">
        <v>276</v>
      </c>
      <c r="M156" t="s">
        <v>355</v>
      </c>
      <c r="N156" s="1" t="s">
        <v>944</v>
      </c>
      <c r="O156" s="1" t="s">
        <v>97</v>
      </c>
      <c r="S156" s="1">
        <v>2020</v>
      </c>
      <c r="T156" s="1" t="s">
        <v>945</v>
      </c>
      <c r="U156" s="33" t="s">
        <v>946</v>
      </c>
    </row>
    <row r="157" spans="1:21" x14ac:dyDescent="0.35">
      <c r="A157">
        <f t="shared" si="2"/>
        <v>156</v>
      </c>
      <c r="B157" t="s">
        <v>934</v>
      </c>
      <c r="C157" s="1" t="s">
        <v>942</v>
      </c>
      <c r="D157" t="s">
        <v>1110</v>
      </c>
      <c r="E157" s="1" t="s">
        <v>376</v>
      </c>
      <c r="F157" t="s">
        <v>939</v>
      </c>
      <c r="G157" t="s">
        <v>943</v>
      </c>
      <c r="I157" s="1" t="s">
        <v>276</v>
      </c>
      <c r="M157" t="s">
        <v>355</v>
      </c>
      <c r="N157" s="1" t="s">
        <v>944</v>
      </c>
      <c r="O157" s="1" t="s">
        <v>97</v>
      </c>
      <c r="S157" s="1">
        <v>2020</v>
      </c>
      <c r="T157" s="1" t="s">
        <v>945</v>
      </c>
      <c r="U157" s="33" t="s">
        <v>946</v>
      </c>
    </row>
    <row r="158" spans="1:21" x14ac:dyDescent="0.35">
      <c r="A158">
        <f t="shared" si="2"/>
        <v>157</v>
      </c>
      <c r="B158" t="s">
        <v>935</v>
      </c>
      <c r="C158" s="1" t="s">
        <v>942</v>
      </c>
      <c r="D158" s="1" t="s">
        <v>1102</v>
      </c>
      <c r="E158" s="1" t="s">
        <v>376</v>
      </c>
      <c r="F158" t="s">
        <v>940</v>
      </c>
      <c r="G158" t="s">
        <v>943</v>
      </c>
      <c r="I158" s="1" t="s">
        <v>276</v>
      </c>
      <c r="M158" t="s">
        <v>355</v>
      </c>
      <c r="N158" s="1" t="s">
        <v>944</v>
      </c>
      <c r="O158" s="1" t="s">
        <v>97</v>
      </c>
      <c r="S158" s="1">
        <v>2020</v>
      </c>
      <c r="T158" s="1" t="s">
        <v>945</v>
      </c>
      <c r="U158" s="33" t="s">
        <v>946</v>
      </c>
    </row>
    <row r="159" spans="1:21" x14ac:dyDescent="0.35">
      <c r="A159">
        <f t="shared" si="2"/>
        <v>158</v>
      </c>
      <c r="B159" s="1" t="s">
        <v>947</v>
      </c>
      <c r="C159" s="1" t="s">
        <v>1016</v>
      </c>
      <c r="D159" s="1" t="s">
        <v>1097</v>
      </c>
      <c r="E159" s="1" t="s">
        <v>376</v>
      </c>
      <c r="F159" s="4" t="s">
        <v>948</v>
      </c>
      <c r="G159" t="s">
        <v>611</v>
      </c>
      <c r="I159" s="1" t="s">
        <v>128</v>
      </c>
      <c r="M159" t="s">
        <v>355</v>
      </c>
      <c r="N159" s="1" t="s">
        <v>949</v>
      </c>
      <c r="O159" s="1" t="s">
        <v>225</v>
      </c>
      <c r="S159" s="1">
        <v>2013</v>
      </c>
      <c r="T159" s="1" t="s">
        <v>950</v>
      </c>
      <c r="U159" s="33" t="s">
        <v>951</v>
      </c>
    </row>
    <row r="160" spans="1:21" x14ac:dyDescent="0.35">
      <c r="A160">
        <f t="shared" si="2"/>
        <v>159</v>
      </c>
      <c r="B160" s="1" t="s">
        <v>952</v>
      </c>
      <c r="C160" s="1" t="s">
        <v>1016</v>
      </c>
      <c r="D160" s="1" t="s">
        <v>1097</v>
      </c>
      <c r="E160" s="1" t="s">
        <v>376</v>
      </c>
      <c r="F160" t="s">
        <v>953</v>
      </c>
      <c r="G160" t="s">
        <v>611</v>
      </c>
      <c r="I160" s="1" t="s">
        <v>128</v>
      </c>
      <c r="M160" t="s">
        <v>355</v>
      </c>
      <c r="N160" s="1" t="s">
        <v>949</v>
      </c>
      <c r="O160" s="1" t="s">
        <v>225</v>
      </c>
      <c r="S160" s="1">
        <v>2018</v>
      </c>
      <c r="T160" s="1" t="s">
        <v>954</v>
      </c>
      <c r="U160" s="33" t="s">
        <v>955</v>
      </c>
    </row>
    <row r="161" spans="1:21" x14ac:dyDescent="0.35">
      <c r="A161">
        <f t="shared" si="2"/>
        <v>160</v>
      </c>
      <c r="B161" s="1" t="s">
        <v>956</v>
      </c>
      <c r="C161" s="1" t="s">
        <v>1016</v>
      </c>
      <c r="D161" s="1" t="s">
        <v>1097</v>
      </c>
      <c r="E161" s="1" t="s">
        <v>376</v>
      </c>
      <c r="F161" t="s">
        <v>610</v>
      </c>
      <c r="G161" t="s">
        <v>957</v>
      </c>
      <c r="I161" s="1" t="s">
        <v>128</v>
      </c>
      <c r="M161" s="2" t="s">
        <v>610</v>
      </c>
      <c r="N161" s="1" t="s">
        <v>960</v>
      </c>
      <c r="O161" s="1" t="s">
        <v>1033</v>
      </c>
      <c r="S161" s="1">
        <v>2013</v>
      </c>
      <c r="T161" s="1" t="s">
        <v>958</v>
      </c>
      <c r="U161" s="33" t="s">
        <v>959</v>
      </c>
    </row>
    <row r="162" spans="1:21" x14ac:dyDescent="0.35">
      <c r="A162">
        <f t="shared" si="2"/>
        <v>161</v>
      </c>
      <c r="B162" s="1" t="s">
        <v>961</v>
      </c>
      <c r="C162" s="1" t="s">
        <v>1016</v>
      </c>
      <c r="D162" s="1" t="s">
        <v>1111</v>
      </c>
      <c r="E162" s="1" t="s">
        <v>376</v>
      </c>
      <c r="F162" t="s">
        <v>962</v>
      </c>
      <c r="G162" t="s">
        <v>611</v>
      </c>
      <c r="I162" s="1" t="s">
        <v>128</v>
      </c>
      <c r="M162" t="s">
        <v>355</v>
      </c>
      <c r="N162" s="1" t="s">
        <v>949</v>
      </c>
      <c r="O162" s="1" t="s">
        <v>225</v>
      </c>
      <c r="S162" s="1">
        <v>2014</v>
      </c>
      <c r="T162" s="1" t="s">
        <v>963</v>
      </c>
      <c r="U162" s="33" t="s">
        <v>964</v>
      </c>
    </row>
    <row r="163" spans="1:21" x14ac:dyDescent="0.35">
      <c r="A163">
        <f t="shared" si="2"/>
        <v>162</v>
      </c>
      <c r="B163" s="1" t="s">
        <v>965</v>
      </c>
      <c r="C163" s="1" t="s">
        <v>973</v>
      </c>
      <c r="D163" t="s">
        <v>1102</v>
      </c>
      <c r="E163" s="1" t="s">
        <v>376</v>
      </c>
      <c r="F163" t="s">
        <v>968</v>
      </c>
      <c r="G163" s="1" t="s">
        <v>967</v>
      </c>
      <c r="I163" s="1" t="s">
        <v>128</v>
      </c>
      <c r="M163" s="1" t="s">
        <v>969</v>
      </c>
      <c r="N163" s="1" t="s">
        <v>970</v>
      </c>
      <c r="S163" s="1">
        <v>2023</v>
      </c>
      <c r="T163" s="1" t="s">
        <v>966</v>
      </c>
      <c r="U163" s="33" t="s">
        <v>971</v>
      </c>
    </row>
    <row r="164" spans="1:21" x14ac:dyDescent="0.35">
      <c r="A164">
        <f t="shared" si="2"/>
        <v>163</v>
      </c>
      <c r="B164" t="s">
        <v>972</v>
      </c>
      <c r="C164" t="s">
        <v>1121</v>
      </c>
      <c r="D164" s="1" t="s">
        <v>1111</v>
      </c>
      <c r="E164" s="1" t="s">
        <v>376</v>
      </c>
      <c r="F164" t="s">
        <v>604</v>
      </c>
      <c r="G164" t="s">
        <v>977</v>
      </c>
      <c r="I164" s="1" t="s">
        <v>20</v>
      </c>
      <c r="K164" s="1" t="s">
        <v>17</v>
      </c>
      <c r="M164" s="1" t="s">
        <v>766</v>
      </c>
      <c r="N164" s="1" t="s">
        <v>976</v>
      </c>
      <c r="R164" s="1">
        <v>37</v>
      </c>
      <c r="S164" s="1">
        <v>2026</v>
      </c>
      <c r="T164" s="1" t="s">
        <v>974</v>
      </c>
      <c r="U164" s="33" t="s">
        <v>975</v>
      </c>
    </row>
    <row r="165" spans="1:21" x14ac:dyDescent="0.35">
      <c r="A165">
        <f t="shared" si="2"/>
        <v>164</v>
      </c>
      <c r="B165" s="1" t="s">
        <v>978</v>
      </c>
      <c r="C165" s="46" t="s">
        <v>476</v>
      </c>
      <c r="D165" s="1" t="s">
        <v>1111</v>
      </c>
      <c r="E165" s="1" t="s">
        <v>376</v>
      </c>
      <c r="F165" s="4" t="s">
        <v>979</v>
      </c>
      <c r="G165" s="46" t="s">
        <v>476</v>
      </c>
      <c r="I165" s="1" t="s">
        <v>20</v>
      </c>
      <c r="M165" t="s">
        <v>355</v>
      </c>
      <c r="N165" s="1" t="s">
        <v>889</v>
      </c>
      <c r="O165" s="1" t="s">
        <v>97</v>
      </c>
      <c r="S165" s="1">
        <v>2025</v>
      </c>
      <c r="T165" s="1" t="s">
        <v>980</v>
      </c>
      <c r="U165" s="33" t="s">
        <v>981</v>
      </c>
    </row>
    <row r="166" spans="1:21" x14ac:dyDescent="0.35">
      <c r="A166">
        <f t="shared" si="2"/>
        <v>165</v>
      </c>
      <c r="B166" s="1" t="s">
        <v>983</v>
      </c>
      <c r="C166" s="46" t="s">
        <v>476</v>
      </c>
      <c r="D166" s="1" t="s">
        <v>1112</v>
      </c>
      <c r="E166" s="1" t="s">
        <v>376</v>
      </c>
      <c r="F166" s="4" t="s">
        <v>982</v>
      </c>
      <c r="G166" s="46" t="s">
        <v>476</v>
      </c>
      <c r="I166" s="1" t="s">
        <v>128</v>
      </c>
      <c r="M166" t="s">
        <v>355</v>
      </c>
      <c r="N166" t="s">
        <v>984</v>
      </c>
      <c r="O166" s="1" t="s">
        <v>97</v>
      </c>
      <c r="S166" s="1">
        <v>2024</v>
      </c>
      <c r="T166" s="1" t="s">
        <v>985</v>
      </c>
      <c r="U166" s="33" t="s">
        <v>986</v>
      </c>
    </row>
    <row r="167" spans="1:21" x14ac:dyDescent="0.35">
      <c r="A167">
        <f t="shared" si="2"/>
        <v>166</v>
      </c>
      <c r="B167" s="1" t="s">
        <v>987</v>
      </c>
      <c r="C167" s="1" t="s">
        <v>1016</v>
      </c>
      <c r="D167" s="1" t="s">
        <v>1111</v>
      </c>
      <c r="E167" s="1" t="s">
        <v>376</v>
      </c>
      <c r="F167" s="2" t="s">
        <v>988</v>
      </c>
      <c r="G167" t="s">
        <v>611</v>
      </c>
      <c r="I167" s="1" t="s">
        <v>128</v>
      </c>
      <c r="M167" t="s">
        <v>355</v>
      </c>
      <c r="N167" s="1" t="s">
        <v>949</v>
      </c>
      <c r="O167" s="1" t="s">
        <v>225</v>
      </c>
      <c r="S167" s="1">
        <v>2016</v>
      </c>
      <c r="T167" s="1" t="s">
        <v>989</v>
      </c>
      <c r="U167" s="33" t="s">
        <v>990</v>
      </c>
    </row>
    <row r="168" spans="1:21" x14ac:dyDescent="0.35">
      <c r="A168">
        <f t="shared" si="2"/>
        <v>167</v>
      </c>
      <c r="B168" s="1" t="s">
        <v>991</v>
      </c>
      <c r="C168" s="1" t="s">
        <v>942</v>
      </c>
      <c r="D168" s="1" t="s">
        <v>1111</v>
      </c>
      <c r="E168" s="1" t="s">
        <v>376</v>
      </c>
      <c r="F168" s="2" t="s">
        <v>992</v>
      </c>
      <c r="G168" t="s">
        <v>993</v>
      </c>
      <c r="I168" s="1" t="s">
        <v>276</v>
      </c>
      <c r="M168" t="s">
        <v>355</v>
      </c>
      <c r="N168" t="s">
        <v>994</v>
      </c>
      <c r="O168" s="1" t="s">
        <v>97</v>
      </c>
      <c r="S168" s="1">
        <v>2019</v>
      </c>
      <c r="T168" s="1" t="s">
        <v>995</v>
      </c>
      <c r="U168" s="33" t="s">
        <v>996</v>
      </c>
    </row>
    <row r="169" spans="1:21" x14ac:dyDescent="0.35">
      <c r="A169">
        <f t="shared" si="2"/>
        <v>168</v>
      </c>
      <c r="B169" s="1" t="s">
        <v>997</v>
      </c>
      <c r="C169" s="46" t="s">
        <v>476</v>
      </c>
      <c r="D169" s="1" t="s">
        <v>1113</v>
      </c>
      <c r="E169" s="1" t="s">
        <v>376</v>
      </c>
      <c r="F169" s="2" t="s">
        <v>998</v>
      </c>
      <c r="G169" s="46" t="s">
        <v>476</v>
      </c>
      <c r="I169" s="1" t="s">
        <v>128</v>
      </c>
      <c r="M169" t="s">
        <v>355</v>
      </c>
      <c r="N169" t="s">
        <v>984</v>
      </c>
      <c r="O169" s="1" t="s">
        <v>97</v>
      </c>
      <c r="S169" s="1">
        <v>2024</v>
      </c>
      <c r="T169" s="1" t="s">
        <v>999</v>
      </c>
      <c r="U169" s="33" t="s">
        <v>1000</v>
      </c>
    </row>
    <row r="170" spans="1:21" x14ac:dyDescent="0.35">
      <c r="A170">
        <f t="shared" si="2"/>
        <v>169</v>
      </c>
      <c r="B170" s="46" t="s">
        <v>1007</v>
      </c>
      <c r="C170" s="46" t="s">
        <v>476</v>
      </c>
      <c r="D170" s="1" t="s">
        <v>1114</v>
      </c>
      <c r="E170" s="1" t="s">
        <v>376</v>
      </c>
      <c r="F170" s="2" t="s">
        <v>1002</v>
      </c>
      <c r="G170" s="46" t="s">
        <v>476</v>
      </c>
      <c r="H170" t="s">
        <v>1004</v>
      </c>
      <c r="I170" s="1" t="s">
        <v>20</v>
      </c>
      <c r="J170" s="9" t="s">
        <v>1006</v>
      </c>
      <c r="M170" s="1" t="s">
        <v>747</v>
      </c>
      <c r="N170" s="1" t="s">
        <v>889</v>
      </c>
      <c r="O170" s="1" t="s">
        <v>97</v>
      </c>
      <c r="S170" s="1">
        <v>2023</v>
      </c>
      <c r="T170" s="1" t="s">
        <v>1013</v>
      </c>
      <c r="U170" s="33" t="s">
        <v>1014</v>
      </c>
    </row>
    <row r="171" spans="1:21" x14ac:dyDescent="0.35">
      <c r="A171">
        <f t="shared" si="2"/>
        <v>170</v>
      </c>
      <c r="B171" s="46" t="s">
        <v>1008</v>
      </c>
      <c r="C171" s="46" t="s">
        <v>476</v>
      </c>
      <c r="D171" s="1" t="s">
        <v>1115</v>
      </c>
      <c r="E171" s="1" t="s">
        <v>376</v>
      </c>
      <c r="F171" t="s">
        <v>1003</v>
      </c>
      <c r="G171" s="46" t="s">
        <v>476</v>
      </c>
      <c r="H171" t="s">
        <v>1005</v>
      </c>
      <c r="I171" s="1" t="s">
        <v>20</v>
      </c>
      <c r="J171" s="9" t="s">
        <v>1006</v>
      </c>
      <c r="M171" s="1" t="s">
        <v>747</v>
      </c>
      <c r="N171" s="1" t="s">
        <v>889</v>
      </c>
      <c r="O171" s="1" t="s">
        <v>97</v>
      </c>
      <c r="S171" s="1">
        <v>2023</v>
      </c>
      <c r="T171" s="1" t="s">
        <v>1013</v>
      </c>
      <c r="U171" s="33" t="s">
        <v>1014</v>
      </c>
    </row>
    <row r="172" spans="1:21" x14ac:dyDescent="0.35">
      <c r="A172">
        <f t="shared" si="2"/>
        <v>171</v>
      </c>
      <c r="B172" s="46" t="s">
        <v>1009</v>
      </c>
      <c r="C172" s="1" t="s">
        <v>654</v>
      </c>
      <c r="D172" s="1" t="s">
        <v>1116</v>
      </c>
      <c r="E172" s="1" t="s">
        <v>376</v>
      </c>
      <c r="F172" t="s">
        <v>1011</v>
      </c>
      <c r="G172" s="1" t="s">
        <v>654</v>
      </c>
      <c r="I172" s="1" t="s">
        <v>20</v>
      </c>
      <c r="M172" s="1" t="s">
        <v>766</v>
      </c>
      <c r="N172" s="1" t="s">
        <v>883</v>
      </c>
      <c r="O172" s="1" t="s">
        <v>551</v>
      </c>
      <c r="S172" s="1">
        <v>2023</v>
      </c>
      <c r="T172" s="1" t="s">
        <v>884</v>
      </c>
      <c r="U172" s="33" t="s">
        <v>177</v>
      </c>
    </row>
    <row r="173" spans="1:21" x14ac:dyDescent="0.35">
      <c r="A173">
        <f t="shared" si="2"/>
        <v>172</v>
      </c>
      <c r="B173" s="1" t="s">
        <v>1010</v>
      </c>
      <c r="C173" s="1" t="s">
        <v>654</v>
      </c>
      <c r="D173" t="s">
        <v>1117</v>
      </c>
      <c r="E173" s="1" t="s">
        <v>376</v>
      </c>
      <c r="F173" t="s">
        <v>1012</v>
      </c>
      <c r="G173" s="1" t="s">
        <v>654</v>
      </c>
      <c r="I173" s="1" t="s">
        <v>20</v>
      </c>
      <c r="M173" s="1" t="s">
        <v>766</v>
      </c>
      <c r="N173" s="1" t="s">
        <v>883</v>
      </c>
      <c r="O173" s="1" t="s">
        <v>551</v>
      </c>
      <c r="S173" s="1">
        <v>2023</v>
      </c>
      <c r="T173" s="1" t="s">
        <v>884</v>
      </c>
      <c r="U173" s="33" t="s">
        <v>177</v>
      </c>
    </row>
    <row r="174" spans="1:21" x14ac:dyDescent="0.35">
      <c r="A174">
        <f t="shared" si="2"/>
        <v>173</v>
      </c>
      <c r="B174" s="1" t="s">
        <v>1034</v>
      </c>
      <c r="C174" s="46" t="s">
        <v>1041</v>
      </c>
      <c r="D174" s="1" t="s">
        <v>1111</v>
      </c>
      <c r="E174" s="1" t="s">
        <v>376</v>
      </c>
      <c r="F174" s="4" t="s">
        <v>1035</v>
      </c>
      <c r="G174" s="1" t="s">
        <v>1036</v>
      </c>
      <c r="I174" s="1" t="s">
        <v>128</v>
      </c>
      <c r="J174"/>
      <c r="K174"/>
      <c r="L174"/>
      <c r="N174"/>
      <c r="O174"/>
      <c r="P174"/>
      <c r="Q174"/>
      <c r="R174"/>
      <c r="S174" s="1">
        <v>2020</v>
      </c>
      <c r="T174" s="1" t="s">
        <v>1037</v>
      </c>
      <c r="U174" s="33" t="s">
        <v>1038</v>
      </c>
    </row>
    <row r="175" spans="1:21" x14ac:dyDescent="0.35">
      <c r="A175">
        <f t="shared" si="2"/>
        <v>174</v>
      </c>
      <c r="B175" s="1" t="s">
        <v>1039</v>
      </c>
      <c r="C175" s="1" t="s">
        <v>654</v>
      </c>
      <c r="D175" s="1" t="s">
        <v>1118</v>
      </c>
      <c r="E175" s="1" t="s">
        <v>376</v>
      </c>
      <c r="F175" s="4" t="s">
        <v>1040</v>
      </c>
      <c r="G175" s="1" t="s">
        <v>1042</v>
      </c>
      <c r="I175" s="1" t="s">
        <v>128</v>
      </c>
      <c r="M175" t="s">
        <v>888</v>
      </c>
      <c r="N175" s="1" t="s">
        <v>1043</v>
      </c>
      <c r="O175" s="1" t="s">
        <v>225</v>
      </c>
      <c r="S175" s="1">
        <v>2026</v>
      </c>
      <c r="T175" s="48" t="s">
        <v>1001</v>
      </c>
      <c r="U175" s="43" t="s">
        <v>1044</v>
      </c>
    </row>
    <row r="176" spans="1:21" x14ac:dyDescent="0.35">
      <c r="A176">
        <f t="shared" si="2"/>
        <v>175</v>
      </c>
      <c r="B176" t="s">
        <v>1045</v>
      </c>
      <c r="C176" s="1" t="s">
        <v>468</v>
      </c>
      <c r="D176" s="1" t="s">
        <v>467</v>
      </c>
      <c r="E176" s="1" t="s">
        <v>375</v>
      </c>
      <c r="F176" s="4" t="s">
        <v>1047</v>
      </c>
      <c r="G176" s="1" t="s">
        <v>1048</v>
      </c>
      <c r="I176" s="1" t="s">
        <v>20</v>
      </c>
      <c r="M176" s="2" t="s">
        <v>359</v>
      </c>
      <c r="N176" t="s">
        <v>1050</v>
      </c>
      <c r="O176" s="1" t="s">
        <v>1026</v>
      </c>
      <c r="Q176" s="1">
        <v>30</v>
      </c>
      <c r="R176" s="1" t="s">
        <v>1052</v>
      </c>
      <c r="S176" s="1">
        <v>2026</v>
      </c>
      <c r="T176" s="48" t="s">
        <v>1053</v>
      </c>
      <c r="U176" s="43" t="s">
        <v>1054</v>
      </c>
    </row>
    <row r="177" spans="1:21" x14ac:dyDescent="0.35">
      <c r="A177">
        <f t="shared" si="2"/>
        <v>176</v>
      </c>
      <c r="B177" t="s">
        <v>1046</v>
      </c>
      <c r="C177" s="1" t="s">
        <v>468</v>
      </c>
      <c r="D177" s="1" t="s">
        <v>467</v>
      </c>
      <c r="E177" s="1" t="s">
        <v>375</v>
      </c>
      <c r="F177" s="4" t="s">
        <v>1047</v>
      </c>
      <c r="G177" s="1" t="s">
        <v>1049</v>
      </c>
      <c r="I177" s="1" t="s">
        <v>20</v>
      </c>
      <c r="K177" s="49"/>
      <c r="M177" s="2" t="s">
        <v>359</v>
      </c>
      <c r="N177" t="s">
        <v>1051</v>
      </c>
      <c r="O177" s="1" t="s">
        <v>1026</v>
      </c>
      <c r="Q177" s="1">
        <v>30</v>
      </c>
      <c r="R177" s="1" t="s">
        <v>1052</v>
      </c>
      <c r="S177" s="1">
        <v>2026</v>
      </c>
      <c r="T177" s="48" t="s">
        <v>1053</v>
      </c>
      <c r="U177" s="43" t="s">
        <v>1054</v>
      </c>
    </row>
    <row r="178" spans="1:21" ht="43.5" x14ac:dyDescent="0.35">
      <c r="A178">
        <f t="shared" si="2"/>
        <v>177</v>
      </c>
      <c r="B178" t="s">
        <v>1055</v>
      </c>
      <c r="C178" s="1" t="s">
        <v>468</v>
      </c>
      <c r="D178" s="1" t="s">
        <v>467</v>
      </c>
      <c r="E178" s="1" t="s">
        <v>375</v>
      </c>
      <c r="F178" s="4" t="s">
        <v>1061</v>
      </c>
      <c r="G178" s="5" t="s">
        <v>1062</v>
      </c>
      <c r="H178" s="5" t="s">
        <v>1063</v>
      </c>
      <c r="I178" t="s">
        <v>1074</v>
      </c>
      <c r="J178" s="9" t="s">
        <v>1075</v>
      </c>
      <c r="K178" s="1" t="s">
        <v>17</v>
      </c>
      <c r="M178" s="2" t="s">
        <v>359</v>
      </c>
      <c r="N178" s="6" t="s">
        <v>1076</v>
      </c>
      <c r="O178" s="1" t="s">
        <v>55</v>
      </c>
      <c r="Q178" s="1">
        <v>30</v>
      </c>
      <c r="R178" s="1">
        <v>9</v>
      </c>
      <c r="S178" s="1">
        <v>2026</v>
      </c>
      <c r="T178" s="48" t="s">
        <v>1082</v>
      </c>
      <c r="U178" s="43" t="s">
        <v>1083</v>
      </c>
    </row>
    <row r="179" spans="1:21" ht="29" x14ac:dyDescent="0.35">
      <c r="A179">
        <f t="shared" si="2"/>
        <v>178</v>
      </c>
      <c r="B179" t="s">
        <v>1056</v>
      </c>
      <c r="C179" s="1" t="s">
        <v>468</v>
      </c>
      <c r="D179" s="1" t="s">
        <v>467</v>
      </c>
      <c r="E179" s="1" t="s">
        <v>375</v>
      </c>
      <c r="F179" s="4" t="s">
        <v>1061</v>
      </c>
      <c r="G179" t="s">
        <v>1068</v>
      </c>
      <c r="H179" s="9" t="s">
        <v>1069</v>
      </c>
      <c r="I179" t="s">
        <v>1074</v>
      </c>
      <c r="J179" s="9" t="s">
        <v>1075</v>
      </c>
      <c r="K179" s="1" t="s">
        <v>17</v>
      </c>
      <c r="M179" s="2" t="s">
        <v>359</v>
      </c>
      <c r="N179" s="5" t="s">
        <v>1077</v>
      </c>
      <c r="O179" s="1" t="s">
        <v>541</v>
      </c>
      <c r="Q179" s="1">
        <v>30</v>
      </c>
      <c r="R179" s="1">
        <v>9</v>
      </c>
      <c r="S179" s="1">
        <v>2026</v>
      </c>
      <c r="T179" s="48" t="s">
        <v>1082</v>
      </c>
      <c r="U179" s="43" t="s">
        <v>1083</v>
      </c>
    </row>
    <row r="180" spans="1:21" ht="29" x14ac:dyDescent="0.35">
      <c r="A180">
        <f t="shared" si="2"/>
        <v>179</v>
      </c>
      <c r="B180" t="s">
        <v>1057</v>
      </c>
      <c r="C180" s="1" t="s">
        <v>468</v>
      </c>
      <c r="D180" s="1" t="s">
        <v>467</v>
      </c>
      <c r="E180" s="1" t="s">
        <v>375</v>
      </c>
      <c r="F180" s="4" t="s">
        <v>1061</v>
      </c>
      <c r="G180" s="1" t="s">
        <v>1064</v>
      </c>
      <c r="H180" s="1" t="s">
        <v>1066</v>
      </c>
      <c r="I180" t="s">
        <v>20</v>
      </c>
      <c r="J180" s="34" t="s">
        <v>1006</v>
      </c>
      <c r="K180" s="1" t="s">
        <v>17</v>
      </c>
      <c r="M180" s="2" t="s">
        <v>359</v>
      </c>
      <c r="N180" s="5" t="s">
        <v>1078</v>
      </c>
      <c r="O180" s="1" t="s">
        <v>541</v>
      </c>
      <c r="Q180" s="1">
        <v>18</v>
      </c>
      <c r="R180" s="1">
        <v>9</v>
      </c>
      <c r="S180" s="1">
        <v>2026</v>
      </c>
      <c r="T180" s="48" t="s">
        <v>1082</v>
      </c>
      <c r="U180" s="43" t="s">
        <v>1083</v>
      </c>
    </row>
    <row r="181" spans="1:21" ht="29" x14ac:dyDescent="0.35">
      <c r="A181">
        <f t="shared" si="2"/>
        <v>180</v>
      </c>
      <c r="B181" t="s">
        <v>1058</v>
      </c>
      <c r="C181" s="1" t="s">
        <v>468</v>
      </c>
      <c r="D181" s="1" t="s">
        <v>467</v>
      </c>
      <c r="E181" s="1" t="s">
        <v>375</v>
      </c>
      <c r="F181" s="4" t="s">
        <v>1061</v>
      </c>
      <c r="G181" s="1" t="s">
        <v>1065</v>
      </c>
      <c r="H181" s="1" t="s">
        <v>1067</v>
      </c>
      <c r="I181" t="s">
        <v>20</v>
      </c>
      <c r="J181" s="34" t="s">
        <v>1006</v>
      </c>
      <c r="K181" s="1" t="s">
        <v>17</v>
      </c>
      <c r="M181" s="2" t="s">
        <v>359</v>
      </c>
      <c r="N181" s="5" t="s">
        <v>1079</v>
      </c>
      <c r="O181" s="1" t="s">
        <v>541</v>
      </c>
      <c r="Q181" s="1">
        <v>18</v>
      </c>
      <c r="R181" s="1">
        <v>9</v>
      </c>
      <c r="S181" s="1">
        <v>2026</v>
      </c>
      <c r="T181" s="48" t="s">
        <v>1082</v>
      </c>
      <c r="U181" s="43" t="s">
        <v>1083</v>
      </c>
    </row>
    <row r="182" spans="1:21" ht="29" x14ac:dyDescent="0.35">
      <c r="A182">
        <f t="shared" si="2"/>
        <v>181</v>
      </c>
      <c r="B182" t="s">
        <v>1059</v>
      </c>
      <c r="C182" s="1" t="s">
        <v>468</v>
      </c>
      <c r="D182" s="1" t="s">
        <v>467</v>
      </c>
      <c r="E182" s="1" t="s">
        <v>375</v>
      </c>
      <c r="F182" s="4" t="s">
        <v>1061</v>
      </c>
      <c r="G182" s="1" t="s">
        <v>1070</v>
      </c>
      <c r="H182" s="34" t="s">
        <v>1071</v>
      </c>
      <c r="I182" t="s">
        <v>1074</v>
      </c>
      <c r="J182" s="9" t="s">
        <v>1075</v>
      </c>
      <c r="K182" s="1" t="s">
        <v>17</v>
      </c>
      <c r="M182" s="2" t="s">
        <v>359</v>
      </c>
      <c r="N182" s="6" t="s">
        <v>1080</v>
      </c>
      <c r="O182" s="1" t="s">
        <v>55</v>
      </c>
      <c r="Q182" s="1">
        <v>18</v>
      </c>
      <c r="R182" s="1">
        <v>9</v>
      </c>
      <c r="S182" s="1">
        <v>2026</v>
      </c>
      <c r="T182" s="48" t="s">
        <v>1082</v>
      </c>
      <c r="U182" s="43" t="s">
        <v>1083</v>
      </c>
    </row>
    <row r="183" spans="1:21" ht="58" x14ac:dyDescent="0.35">
      <c r="A183">
        <f t="shared" si="2"/>
        <v>182</v>
      </c>
      <c r="B183" t="s">
        <v>1060</v>
      </c>
      <c r="C183" s="1" t="s">
        <v>468</v>
      </c>
      <c r="D183" s="1" t="s">
        <v>467</v>
      </c>
      <c r="E183" s="1" t="s">
        <v>375</v>
      </c>
      <c r="F183" s="4" t="s">
        <v>1061</v>
      </c>
      <c r="G183" s="1" t="s">
        <v>1072</v>
      </c>
      <c r="H183" s="1" t="s">
        <v>1073</v>
      </c>
      <c r="I183" t="s">
        <v>20</v>
      </c>
      <c r="J183" s="34" t="s">
        <v>1006</v>
      </c>
      <c r="K183" s="1" t="s">
        <v>17</v>
      </c>
      <c r="M183" s="2" t="s">
        <v>359</v>
      </c>
      <c r="N183" s="5" t="s">
        <v>1081</v>
      </c>
      <c r="O183" s="1" t="s">
        <v>541</v>
      </c>
      <c r="Q183" s="1">
        <v>45</v>
      </c>
      <c r="R183" s="1">
        <v>9</v>
      </c>
      <c r="S183" s="1">
        <v>2026</v>
      </c>
      <c r="T183" s="48" t="s">
        <v>1082</v>
      </c>
      <c r="U183" s="43" t="s">
        <v>1083</v>
      </c>
    </row>
    <row r="184" spans="1:21" x14ac:dyDescent="0.35">
      <c r="A184">
        <f t="shared" si="2"/>
        <v>183</v>
      </c>
      <c r="B184" s="1" t="s">
        <v>1126</v>
      </c>
      <c r="C184" s="6" t="s">
        <v>637</v>
      </c>
      <c r="D184" s="6" t="s">
        <v>469</v>
      </c>
      <c r="E184" s="1" t="s">
        <v>375</v>
      </c>
      <c r="F184" s="4" t="s">
        <v>77</v>
      </c>
      <c r="G184" s="6" t="s">
        <v>1129</v>
      </c>
      <c r="I184" s="6" t="s">
        <v>20</v>
      </c>
      <c r="J184" s="6"/>
      <c r="M184" s="1" t="s">
        <v>15</v>
      </c>
      <c r="N184" s="1" t="s">
        <v>96</v>
      </c>
      <c r="S184" s="1">
        <v>2024</v>
      </c>
      <c r="T184" s="1" t="s">
        <v>94</v>
      </c>
      <c r="U184" s="3" t="s">
        <v>93</v>
      </c>
    </row>
    <row r="185" spans="1:21" x14ac:dyDescent="0.35">
      <c r="A185">
        <f t="shared" si="2"/>
        <v>184</v>
      </c>
      <c r="B185" s="1" t="s">
        <v>1127</v>
      </c>
      <c r="C185" s="6" t="s">
        <v>637</v>
      </c>
      <c r="D185" s="6" t="s">
        <v>469</v>
      </c>
      <c r="E185" s="1" t="s">
        <v>375</v>
      </c>
      <c r="F185" s="4" t="s">
        <v>77</v>
      </c>
      <c r="G185" s="6" t="s">
        <v>1130</v>
      </c>
      <c r="I185" s="6" t="s">
        <v>20</v>
      </c>
      <c r="J185" s="6"/>
      <c r="M185" s="1" t="s">
        <v>15</v>
      </c>
      <c r="N185" s="1" t="s">
        <v>96</v>
      </c>
      <c r="S185" s="1">
        <v>2024</v>
      </c>
      <c r="T185" s="1" t="s">
        <v>94</v>
      </c>
      <c r="U185" s="3" t="s">
        <v>93</v>
      </c>
    </row>
    <row r="186" spans="1:21" x14ac:dyDescent="0.35">
      <c r="A186">
        <f t="shared" si="2"/>
        <v>185</v>
      </c>
      <c r="B186" s="6" t="s">
        <v>1128</v>
      </c>
      <c r="C186" s="6" t="s">
        <v>637</v>
      </c>
      <c r="D186" s="6" t="s">
        <v>469</v>
      </c>
      <c r="E186" s="1" t="s">
        <v>375</v>
      </c>
      <c r="F186" s="4" t="s">
        <v>77</v>
      </c>
      <c r="G186" s="6" t="s">
        <v>1131</v>
      </c>
      <c r="I186" s="6" t="s">
        <v>20</v>
      </c>
      <c r="J186" s="6"/>
      <c r="M186" s="1" t="s">
        <v>15</v>
      </c>
      <c r="N186" s="1" t="s">
        <v>96</v>
      </c>
      <c r="S186" s="1">
        <v>2024</v>
      </c>
      <c r="T186" s="1" t="s">
        <v>94</v>
      </c>
      <c r="U186" s="3" t="s">
        <v>93</v>
      </c>
    </row>
  </sheetData>
  <autoFilter ref="A1:V186" xr:uid="{00000000-0001-0000-0000-000000000000}">
    <sortState xmlns:xlrd2="http://schemas.microsoft.com/office/spreadsheetml/2017/richdata2" ref="A2:V110">
      <sortCondition ref="A1:A110"/>
    </sortState>
  </autoFilter>
  <phoneticPr fontId="10" type="noConversion"/>
  <conditionalFormatting sqref="B184:B1048576 B57:B175 B1:B55">
    <cfRule type="duplicateValues" dxfId="0" priority="1"/>
  </conditionalFormatting>
  <hyperlinks>
    <hyperlink ref="U2" r:id="rId1" xr:uid="{C093D59F-05CA-495B-9598-82911BF385AD}"/>
    <hyperlink ref="U4" r:id="rId2" xr:uid="{34D5EB63-9309-4E91-B7A7-CA51BF486B2D}"/>
    <hyperlink ref="U3" r:id="rId3" xr:uid="{7D70764A-BDE9-4873-9C0F-EEBFBFFAD7CC}"/>
    <hyperlink ref="U5" r:id="rId4" xr:uid="{E13AB36F-50F7-4345-B9F6-8DAA3B230D9B}"/>
    <hyperlink ref="U7" r:id="rId5" xr:uid="{85BC44E1-B2C9-4C47-A973-4ACAD3CF8783}"/>
    <hyperlink ref="U8" r:id="rId6" xr:uid="{74D91AC7-F82C-42E8-8E1B-A40454395362}"/>
    <hyperlink ref="U9" r:id="rId7" xr:uid="{F9FC5C4C-F3A1-44D7-8DC1-08349CA5D597}"/>
    <hyperlink ref="U10" r:id="rId8" xr:uid="{7C8FF8B0-0E80-4FF8-9297-8603CEE34C92}"/>
    <hyperlink ref="U11" r:id="rId9" xr:uid="{59240386-73D0-4F39-9004-B58395D5D254}"/>
    <hyperlink ref="U13" r:id="rId10" xr:uid="{A4082671-DC3C-4EB8-A0CA-516D5EB1DF21}"/>
    <hyperlink ref="U15" r:id="rId11" xr:uid="{BDEA1089-5BBE-4E33-A953-8FA7E298BDC1}"/>
    <hyperlink ref="U16" r:id="rId12" xr:uid="{1FBD8601-F066-46BA-B5DD-8E174D2766A2}"/>
    <hyperlink ref="U17" r:id="rId13" xr:uid="{4AE6F93D-AC1F-4E51-AC2A-2E2D545219B6}"/>
    <hyperlink ref="U19" r:id="rId14" xr:uid="{9D42DC39-BBD0-4E19-BEF5-600856541697}"/>
    <hyperlink ref="U18" r:id="rId15" xr:uid="{BA414A8A-F736-4F64-9E15-5F7EF4A2BC3B}"/>
    <hyperlink ref="U20" r:id="rId16" xr:uid="{C7D0F186-D688-4DC1-AE47-0B34E37C2096}"/>
    <hyperlink ref="U21" r:id="rId17" xr:uid="{0DA5888A-9999-4638-92F3-B3F242A92C5D}"/>
    <hyperlink ref="U23" r:id="rId18" xr:uid="{70C21237-8C09-483A-97EA-AE58C8D717C3}"/>
    <hyperlink ref="U25" r:id="rId19" xr:uid="{272874DA-6688-413F-821E-FE890B0DE1FE}"/>
    <hyperlink ref="U26" r:id="rId20" xr:uid="{956335F7-69E3-477B-A943-8474BDB82012}"/>
    <hyperlink ref="U6" r:id="rId21" xr:uid="{EFD9544B-23D7-4B9F-9F6E-6E85AB649F59}"/>
    <hyperlink ref="U29" r:id="rId22" xr:uid="{815D6CE5-1F17-4153-9250-D821B53853E3}"/>
    <hyperlink ref="U28" r:id="rId23" xr:uid="{D5D2F4FB-4D5E-4116-949E-E6B05A6D6972}"/>
    <hyperlink ref="U12" r:id="rId24" display="https://doi.org/10.1111/nph.15611" xr:uid="{8C8453D7-9A87-4C67-AF98-501654252315}"/>
    <hyperlink ref="U14" r:id="rId25" display="https://doi.org/10.1111/nph.15611" xr:uid="{9A409DE2-6ACD-4A68-8AF1-4B79C3DF23D1}"/>
    <hyperlink ref="U30" r:id="rId26" xr:uid="{C5CCBCC9-C809-44CE-96C7-3529702914B0}"/>
    <hyperlink ref="U31" r:id="rId27" xr:uid="{BD88A949-7CA5-4997-8406-1AFBE65BDB25}"/>
    <hyperlink ref="U32" r:id="rId28" xr:uid="{333A45CC-31E9-4707-818E-4AECBDA4D04F}"/>
    <hyperlink ref="U33" r:id="rId29" xr:uid="{941E422E-7005-4896-B008-170CAAA8269A}"/>
    <hyperlink ref="U34" r:id="rId30" xr:uid="{2E5DD96E-32EB-4BDA-9F72-04737E1DBFE1}"/>
    <hyperlink ref="U35" r:id="rId31" xr:uid="{8DEA4862-3913-4703-AAB6-581CFAF7BF9E}"/>
    <hyperlink ref="U36" r:id="rId32" xr:uid="{2F8A6036-4F92-47FC-86E9-61087E8E7F71}"/>
    <hyperlink ref="U38" r:id="rId33" xr:uid="{B7767995-1B90-405E-BB3A-C719812D2098}"/>
    <hyperlink ref="U39" r:id="rId34" xr:uid="{B78A6F24-1455-42C8-A02A-D5E56FBAA9ED}"/>
    <hyperlink ref="U37" r:id="rId35" xr:uid="{AF4596C4-FCEE-4715-BBA5-B8F2F5C5CE84}"/>
    <hyperlink ref="U40" r:id="rId36" xr:uid="{5DB47B96-80DE-4198-BB12-71B3EF3C5913}"/>
    <hyperlink ref="U44" r:id="rId37" xr:uid="{E7D6308E-7FD8-4678-B50D-80BF0C3348DE}"/>
    <hyperlink ref="U45" r:id="rId38" xr:uid="{1FB81418-A99E-4938-AFAD-B31F49746164}"/>
    <hyperlink ref="U46" r:id="rId39" xr:uid="{09DFBAEF-2E40-45F2-9E49-AE93949C190C}"/>
    <hyperlink ref="U47" r:id="rId40" xr:uid="{011F9DC6-39BC-4268-9470-851B20C3D418}"/>
    <hyperlink ref="U48" r:id="rId41" xr:uid="{AE5FC520-346B-4D73-B26A-39D70B839B66}"/>
    <hyperlink ref="U49" r:id="rId42" xr:uid="{316EB32E-3EED-4373-95D0-822E59FB5BAC}"/>
    <hyperlink ref="U51" r:id="rId43" xr:uid="{51249D45-C1F5-45FD-9E59-DE5782803759}"/>
    <hyperlink ref="U50" r:id="rId44" xr:uid="{5976E34D-86EA-4899-B522-9CFFB5C653A9}"/>
    <hyperlink ref="U53" r:id="rId45" xr:uid="{A907E415-10C9-4751-A109-87735B2DA5DE}"/>
    <hyperlink ref="U54" r:id="rId46" xr:uid="{4E362124-B19E-40FA-A7FA-6DEAD31394A3}"/>
    <hyperlink ref="U55" r:id="rId47" xr:uid="{3479EBD5-71E1-494D-AF78-8FB839597194}"/>
    <hyperlink ref="U59" r:id="rId48" xr:uid="{BE3E240E-C093-4D70-B617-5D00A79EF707}"/>
    <hyperlink ref="U61" r:id="rId49" xr:uid="{33C2CED6-D3E8-49CF-B2A9-6D52D591C157}"/>
    <hyperlink ref="U60" r:id="rId50" xr:uid="{697879ED-C4B6-4A03-BDDC-76E36B9C7E8E}"/>
    <hyperlink ref="U62" r:id="rId51" xr:uid="{FB6E185E-070E-4452-98AE-BA3C3B9876EA}"/>
    <hyperlink ref="U64" r:id="rId52" xr:uid="{C9323D83-82E9-43EE-8A8E-F826A2CFCB4F}"/>
    <hyperlink ref="U65" r:id="rId53" xr:uid="{F9171FA0-3D91-42C3-ACA6-04E36031716D}"/>
    <hyperlink ref="U66" r:id="rId54" xr:uid="{99957DFB-8F21-48FB-A800-3D5AD441380A}"/>
    <hyperlink ref="U74" r:id="rId55" xr:uid="{9F6A7933-0D1B-494E-9E7B-BE37E1F61972}"/>
    <hyperlink ref="U24" r:id="rId56" xr:uid="{97AFFC14-4630-4C0D-B384-13ACE7435CEF}"/>
    <hyperlink ref="U27" r:id="rId57" xr:uid="{8DAEA5CC-1647-4A53-8707-7EF799A707F3}"/>
    <hyperlink ref="U79" r:id="rId58" xr:uid="{6E9893C3-D29B-4B87-AD7B-9A9EF06B4837}"/>
    <hyperlink ref="U52" r:id="rId59" xr:uid="{D47C1905-3560-47E9-9081-C0EF1CA339AC}"/>
    <hyperlink ref="U81" r:id="rId60" xr:uid="{C5404428-282D-481D-8DE1-9F661D62B363}"/>
    <hyperlink ref="U41" r:id="rId61" xr:uid="{09D780DE-A4CD-4B7E-BBC7-572CBD0894C7}"/>
    <hyperlink ref="U42" r:id="rId62" xr:uid="{7DC717FC-34A6-494D-A331-2FFDE768035D}"/>
    <hyperlink ref="U43" r:id="rId63" xr:uid="{7FA412DB-1DE9-49E6-A058-7C1FDE6D07C6}"/>
    <hyperlink ref="U77" r:id="rId64" xr:uid="{F4F9F82C-1CF3-4DF1-8E6E-257D0BF8598A}"/>
    <hyperlink ref="U67" r:id="rId65" xr:uid="{FF8EF7DD-F1EF-486E-ABFB-FA730DAE3132}"/>
    <hyperlink ref="U68" r:id="rId66" xr:uid="{193BBBC0-24A9-4CCA-B70E-BBA3BD644A24}"/>
    <hyperlink ref="U73" r:id="rId67" xr:uid="{0A9C29E1-7BF3-408D-95DB-77BB9D663FF1}"/>
    <hyperlink ref="U72" r:id="rId68" xr:uid="{869F0431-F962-40BE-AA17-AB289C0AE6D3}"/>
    <hyperlink ref="U75" r:id="rId69" xr:uid="{C72D8C76-CDF0-45DD-9FCD-D03753CAAD3A}"/>
    <hyperlink ref="U87" r:id="rId70" xr:uid="{C2F26E50-B008-4101-8851-735193AA7804}"/>
    <hyperlink ref="U88" r:id="rId71" xr:uid="{03B45933-6EE9-4F62-9AFE-EAB15222CF3D}"/>
    <hyperlink ref="U89" r:id="rId72" xr:uid="{684DF74B-6EDC-44FA-9F33-A163E1136C7E}"/>
    <hyperlink ref="U90" r:id="rId73" xr:uid="{B3151E2E-4437-4A00-8513-F05FF8482583}"/>
    <hyperlink ref="U92" r:id="rId74" xr:uid="{C80DC494-FD5C-4548-9317-25FCF365C0F8}"/>
    <hyperlink ref="U93" r:id="rId75" xr:uid="{9343C776-516D-4208-8015-87BDD9D2ECAB}"/>
    <hyperlink ref="U96" r:id="rId76" xr:uid="{1FCC3055-BF98-4487-9546-908C41D3D211}"/>
    <hyperlink ref="U78" r:id="rId77" xr:uid="{88FEF954-85B9-4B5C-B520-A953179B6A7C}"/>
    <hyperlink ref="U91" r:id="rId78" xr:uid="{EE6C2952-8F7B-4E6B-BC7D-E8C94BB1BB09}"/>
    <hyperlink ref="U22" r:id="rId79" xr:uid="{B59D9E8A-7379-4EB2-98B9-32F609CF73D5}"/>
    <hyperlink ref="U98" r:id="rId80" xr:uid="{EC03665B-A0BC-46B0-965E-A4A669E09891}"/>
    <hyperlink ref="U100" r:id="rId81" xr:uid="{05A0E9D6-55E3-4FB8-A348-A862E1C8E27B}"/>
    <hyperlink ref="U101" r:id="rId82" xr:uid="{5143E62C-D232-431F-A140-89BC03212A92}"/>
    <hyperlink ref="U114" r:id="rId83" xr:uid="{0C317708-07EC-436F-8A26-D9B6A462C327}"/>
    <hyperlink ref="U118" r:id="rId84" xr:uid="{0682314F-4943-4110-9CDC-51B1C2AF254C}"/>
    <hyperlink ref="U119" r:id="rId85" xr:uid="{0D5D2CFF-6434-4097-B406-A45671196A7E}"/>
    <hyperlink ref="U120" r:id="rId86" xr:uid="{F3E2EB19-7B85-46C1-BB8D-1E2377EDEFC6}"/>
    <hyperlink ref="U122" r:id="rId87" xr:uid="{E15F1E5A-D5A3-4B59-BF51-866BEB074B9F}"/>
    <hyperlink ref="U130" r:id="rId88" xr:uid="{0B598ED7-D916-4690-81A4-A4C0523E527D}"/>
    <hyperlink ref="U123" r:id="rId89" xr:uid="{A465496F-6FA9-4B93-A974-152B04C89134}"/>
    <hyperlink ref="U124" r:id="rId90" xr:uid="{2D413178-11E9-46B4-AD7F-71104A8AABB2}"/>
    <hyperlink ref="U125" r:id="rId91" xr:uid="{7F6D8BE6-054A-4A00-AC4A-28BA5D516739}"/>
    <hyperlink ref="U126" r:id="rId92" xr:uid="{BE1BBC3F-9E5C-4526-9CD5-48AFBF511166}"/>
    <hyperlink ref="U127" r:id="rId93" xr:uid="{498822AE-DF9D-436A-81F6-3695C8B3DEB8}"/>
    <hyperlink ref="U128" r:id="rId94" xr:uid="{8209E5CC-DE1E-465F-9F9C-516F94D34BEB}"/>
    <hyperlink ref="U129" r:id="rId95" xr:uid="{FB9748B3-CCC4-413A-802E-40234AC3B386}"/>
    <hyperlink ref="U121" r:id="rId96" xr:uid="{8610C9E7-5B61-4C7A-955B-54E8C4E14A54}"/>
    <hyperlink ref="U131" r:id="rId97" xr:uid="{9930DEF1-69F2-48E6-B833-7E0EF6B376EE}"/>
    <hyperlink ref="U132" r:id="rId98" xr:uid="{C69373E1-7038-4FF8-BF45-36C234674C68}"/>
    <hyperlink ref="U102" r:id="rId99" xr:uid="{85FD77EF-BE67-443F-8BDA-0F7214320CB2}"/>
    <hyperlink ref="U103" r:id="rId100" xr:uid="{7A3D139A-D238-466B-9FEA-CADA565F1909}"/>
    <hyperlink ref="U104" r:id="rId101" xr:uid="{1B472B73-2A7E-4E5C-946C-0578B7238EB5}"/>
    <hyperlink ref="U105" r:id="rId102" xr:uid="{2CBD26D2-ADF5-46C0-8956-162D73A54EDC}"/>
    <hyperlink ref="U106" r:id="rId103" xr:uid="{C936C339-6FA9-4269-BAB5-D7E8697606AB}"/>
    <hyperlink ref="U107" r:id="rId104" xr:uid="{7428A8DA-6088-413D-A16F-6E6CD1FC0618}"/>
    <hyperlink ref="U108" r:id="rId105" xr:uid="{F5E061AF-3A48-4108-87AA-AD1A70288A1B}"/>
    <hyperlink ref="U109" r:id="rId106" xr:uid="{AB40AA77-AB9E-4722-8AD8-8011CCCB2A31}"/>
    <hyperlink ref="U110" r:id="rId107" xr:uid="{8D317C72-36A6-4E64-9356-3405864CC2DE}"/>
    <hyperlink ref="U111" r:id="rId108" xr:uid="{FC675F89-D957-4C1E-B69C-2FBB644B5C35}"/>
    <hyperlink ref="U135" r:id="rId109" xr:uid="{FF8A3356-6F7E-472A-90BA-B75967639500}"/>
    <hyperlink ref="U136" r:id="rId110" xr:uid="{4A8AC365-C425-46C0-AC42-894A7E171C11}"/>
    <hyperlink ref="U137" r:id="rId111" xr:uid="{EFD1CBB8-20D6-4CAA-A056-E6144A6F8DF4}"/>
    <hyperlink ref="U138" r:id="rId112" xr:uid="{726E0375-922C-484E-A4DD-AA99C9CFB80C}"/>
    <hyperlink ref="U140" r:id="rId113" xr:uid="{8E16602A-175D-4BBC-A61C-4D6E39C0C037}"/>
    <hyperlink ref="U139" r:id="rId114" xr:uid="{CF1E73A1-0408-478E-84B6-B1EB7506358B}"/>
    <hyperlink ref="U141" r:id="rId115" xr:uid="{0AFB6DF6-D892-479F-B96A-924BB0021097}"/>
    <hyperlink ref="U142" r:id="rId116" xr:uid="{2F6D3676-8ADC-4E0C-8439-80F4568EA914}"/>
    <hyperlink ref="U143" r:id="rId117" xr:uid="{BDFD2645-4B84-4AF7-8B14-6E9DC7C73884}"/>
    <hyperlink ref="U144" r:id="rId118" xr:uid="{4F5F155A-0BA2-4A8D-8DD2-EB7D2D4D40AE}"/>
    <hyperlink ref="U145" r:id="rId119" xr:uid="{65116AA6-51D1-496C-9DA4-6118EDC8ACAE}"/>
    <hyperlink ref="U146" r:id="rId120" xr:uid="{0EE9164F-F432-429E-9395-281F596E035A}"/>
    <hyperlink ref="U147" r:id="rId121" xr:uid="{88AB4104-967F-4928-BC50-3A7EC826C147}"/>
    <hyperlink ref="U148" r:id="rId122" xr:uid="{05B04D2C-1201-4BD6-A662-DC799292CB82}"/>
    <hyperlink ref="U149" r:id="rId123" xr:uid="{E098F4F2-8A91-4993-B510-F49A2BFE7F35}"/>
    <hyperlink ref="U150" r:id="rId124" xr:uid="{4AB60B4E-E9C8-40CA-AAB1-E5170DDFD69A}"/>
    <hyperlink ref="U151" r:id="rId125" xr:uid="{16761595-3057-4A61-B5D4-86E58B09BCDF}"/>
    <hyperlink ref="U152" r:id="rId126" xr:uid="{B28F975C-DC8D-4064-BB63-D8B5EDCD8F22}"/>
    <hyperlink ref="U153" r:id="rId127" xr:uid="{3DB856A4-A322-4E27-9EBA-FE0F72559364}"/>
    <hyperlink ref="U154" r:id="rId128" xr:uid="{B85FD6D2-9CD9-41E6-A4A4-CC6A0FC81213}"/>
    <hyperlink ref="U155" r:id="rId129" xr:uid="{FB47E2B3-622A-4142-9B75-B846DE22748F}"/>
    <hyperlink ref="U156" r:id="rId130" xr:uid="{5A320760-91E8-4A66-BEA2-AC0162EECE00}"/>
    <hyperlink ref="U157" r:id="rId131" xr:uid="{524F83A6-D76B-4FF0-ACE0-75AAD00F1854}"/>
    <hyperlink ref="U158" r:id="rId132" xr:uid="{9100FD37-65E2-41FF-9916-E93C4553DE24}"/>
    <hyperlink ref="U159" r:id="rId133" xr:uid="{9C29EDC7-5486-4386-970F-03BBCC9D1B04}"/>
    <hyperlink ref="U160" r:id="rId134" xr:uid="{54643D8A-DF4D-4A5F-9683-9C569A926B69}"/>
    <hyperlink ref="U161" r:id="rId135" xr:uid="{E3161E0F-2B70-4B9B-A27F-58374CE7FB9D}"/>
    <hyperlink ref="U162" r:id="rId136" xr:uid="{0364714F-5776-4956-B3E6-FCF5C4641495}"/>
    <hyperlink ref="U163" r:id="rId137" xr:uid="{2B09F672-73D4-496B-B839-ED7C25F4C08B}"/>
    <hyperlink ref="U164" r:id="rId138" xr:uid="{5738AA4C-2D0D-41AB-8667-4B6F119E9AB9}"/>
    <hyperlink ref="U165" r:id="rId139" xr:uid="{55DE1BBF-2DB5-440E-8825-8FD07624FA31}"/>
    <hyperlink ref="U166" r:id="rId140" xr:uid="{192412CD-A8FD-4229-A76C-E800E9A3D11D}"/>
    <hyperlink ref="U167" r:id="rId141" xr:uid="{C7165589-9961-41AE-BBCB-AEAAA53B071E}"/>
    <hyperlink ref="U168" r:id="rId142" xr:uid="{5BFB467A-1D37-42FD-8E1C-988AC8C18A0A}"/>
    <hyperlink ref="U169" r:id="rId143" xr:uid="{A1399C1A-46A5-41BE-AF6A-EE91516F05C0}"/>
    <hyperlink ref="U172" r:id="rId144" xr:uid="{6FD1FAF3-FD74-4ED7-940E-475FF8626A20}"/>
    <hyperlink ref="U173" r:id="rId145" xr:uid="{A76E843D-8165-4CE9-8EC0-065EA06EF4EE}"/>
    <hyperlink ref="U170" r:id="rId146" xr:uid="{BC0FBE37-4198-4BE4-A7A0-9E47BDAE33C2}"/>
    <hyperlink ref="U171" r:id="rId147" xr:uid="{9DE088EE-440E-4919-BB6B-15B5A7B8F333}"/>
    <hyperlink ref="U115" r:id="rId148" xr:uid="{CA672DB4-31BD-4600-8143-2B4DE704B407}"/>
    <hyperlink ref="U116" r:id="rId149" xr:uid="{356ED674-6338-4C1C-82F1-3B41BF5FE903}"/>
    <hyperlink ref="U117" r:id="rId150" xr:uid="{7069C974-05CE-4288-845E-B2DAE51BBF7F}"/>
    <hyperlink ref="U84" r:id="rId151" xr:uid="{52923D83-9C4A-4928-98F9-35BFDF7443A7}"/>
    <hyperlink ref="U85" r:id="rId152" xr:uid="{96DACBC5-3E42-4BA6-A1B2-6AD175BF81F8}"/>
    <hyperlink ref="U86" r:id="rId153" xr:uid="{39D2EE5B-96AF-4B29-B9D0-2D3CD1C2EFDD}"/>
    <hyperlink ref="U174" r:id="rId154" xr:uid="{0D0B6656-B805-4DC6-9AA1-DE0DA0C9B1E9}"/>
    <hyperlink ref="U175" r:id="rId155" xr:uid="{96A5D47E-F832-43D8-9BDF-FFA235F34BCA}"/>
    <hyperlink ref="U176" r:id="rId156" xr:uid="{4E10C8DA-F8E9-4976-8439-44C6A16CFCCD}"/>
    <hyperlink ref="U177" r:id="rId157" xr:uid="{CB5173DB-8AA3-4D62-84F2-D27E1C385763}"/>
    <hyperlink ref="U178" r:id="rId158" xr:uid="{FFF407B1-0AB4-48C7-A413-B9425D6A64B8}"/>
    <hyperlink ref="U179" r:id="rId159" xr:uid="{49DFF897-3DB1-41A6-9FC0-B72599934B49}"/>
    <hyperlink ref="U180" r:id="rId160" xr:uid="{E5D94427-2EE4-4DB8-9B78-ECCC6BE7FBF8}"/>
    <hyperlink ref="U181" r:id="rId161" xr:uid="{3A400E3C-4552-4E1F-80D6-E83D7D3CB7DE}"/>
    <hyperlink ref="U182" r:id="rId162" xr:uid="{0EE95130-6CB7-4850-8EFE-F63E1FD99299}"/>
    <hyperlink ref="U183" r:id="rId163" xr:uid="{0C153114-B89D-418A-A86C-6BF920CD02F9}"/>
    <hyperlink ref="U56" r:id="rId164" xr:uid="{A27792FB-1DD3-4485-B4AF-28557CEF09C3}"/>
    <hyperlink ref="U184" r:id="rId165" xr:uid="{D0B9322F-4C29-464B-A317-89B98944D017}"/>
    <hyperlink ref="U185" r:id="rId166" xr:uid="{04259A91-D1EC-4ABE-AEC0-8432B199F204}"/>
    <hyperlink ref="U186" r:id="rId167" xr:uid="{E64A42DA-588C-4206-8160-C849E47F162A}"/>
    <hyperlink ref="U83" r:id="rId168" xr:uid="{B40297EA-AF7B-4373-9D25-DC6D9AEC2139}"/>
  </hyperlinks>
  <pageMargins left="0.7" right="0.7" top="0.75" bottom="0.75" header="0.3" footer="0.3"/>
  <pageSetup paperSize="9" orientation="portrait" horizontalDpi="4294967295" verticalDpi="4294967295" r:id="rId169"/>
  <drawing r:id="rId170"/>
  <legacyDrawing r:id="rId17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Arumitha Suresh</dc:creator>
  <cp:lastModifiedBy>Mohamed Nagia</cp:lastModifiedBy>
  <dcterms:created xsi:type="dcterms:W3CDTF">2015-06-05T18:19:34Z</dcterms:created>
  <dcterms:modified xsi:type="dcterms:W3CDTF">2026-08-06T17:23:02Z</dcterms:modified>
</cp:coreProperties>
</file>